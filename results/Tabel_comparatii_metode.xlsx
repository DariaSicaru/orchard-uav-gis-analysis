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QGIS\Proiect_vara\Q_GIS\Excel\"/>
    </mc:Choice>
  </mc:AlternateContent>
  <xr:revisionPtr revIDLastSave="0" documentId="13_ncr:1_{4DFB6FC1-E0DE-4966-A7A9-4852DFA5DAF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altime_met_1" sheetId="2" r:id="rId1"/>
    <sheet name="inaltime_met_2" sheetId="3" r:id="rId2"/>
    <sheet name="comparatie_metode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  <c r="D17" i="1"/>
  <c r="C17" i="1"/>
  <c r="C17" i="3"/>
  <c r="C17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<sst xmlns="http://schemas.openxmlformats.org/spreadsheetml/2006/main" count="76" uniqueCount="15">
  <si>
    <t>Mar</t>
  </si>
  <si>
    <t>Gutui</t>
  </si>
  <si>
    <t>Prun</t>
  </si>
  <si>
    <t>Par</t>
  </si>
  <si>
    <t>Înălțime_CHM</t>
  </si>
  <si>
    <t>Înălțime_DSM</t>
  </si>
  <si>
    <t>Specie</t>
  </si>
  <si>
    <t>ID</t>
  </si>
  <si>
    <t>Diferență</t>
  </si>
  <si>
    <t>Observații</t>
  </si>
  <si>
    <t>Pom absent</t>
  </si>
  <si>
    <t>CHM subestimează înălțimea</t>
  </si>
  <si>
    <t>Metoda 2 &gt; CHM</t>
  </si>
  <si>
    <t>Medie valori: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</si>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</sst>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0"/>
      <name val="Arial"/>
      <family val="2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5" fontId="1" fillId="3" borderId="3" xfId="0" applyNumberFormat="1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Relația dintre înălțimea pomilor prin cele doua metode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12445122484689414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comparatie_metode!$C$2:$C$16</c:f>
              <c:strCache>
                <c:ptCount val="15"/>
                <c:pt idx="0">
                  <c:v>1.32</c:v>
                </c:pt>
                <c:pt idx="1">
                  <c:v>1.76</c:v>
                </c:pt>
                <c:pt idx="2">
                  <c:v>2.38</c:v>
                </c:pt>
                <c:pt idx="3">
                  <c:v>1.91</c:v>
                </c:pt>
                <c:pt idx="4">
                  <c:v>0.04</c:v>
                </c:pt>
                <c:pt idx="5">
                  <c:v>2.01</c:v>
                </c:pt>
                <c:pt idx="6">
                  <c:v>0.01</c:v>
                </c:pt>
                <c:pt idx="7">
                  <c:v>0.02</c:v>
                </c:pt>
                <c:pt idx="8">
                  <c:v>1.43</c:v>
                </c:pt>
                <c:pt idx="9">
                  <c:v>0.63</c:v>
                </c:pt>
                <c:pt idx="10">
                  <c:v>1.42</c:v>
                </c:pt>
                <c:pt idx="11">
                  <c:v>0.01</c:v>
                </c:pt>
                <c:pt idx="12">
                  <c:v>0.89</c:v>
                </c:pt>
                <c:pt idx="13">
                  <c:v>1.81</c:v>
                </c:pt>
                <c:pt idx="14">
                  <c:v>1.68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28171478565181E-2"/>
                  <c:y val="0.38152777777777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comparatie_metode!$C$2:$C$16</c:f>
              <c:numCache>
                <c:formatCode>0.00</c:formatCode>
                <c:ptCount val="15"/>
                <c:pt idx="0">
                  <c:v>1.3199889487034979</c:v>
                </c:pt>
                <c:pt idx="1">
                  <c:v>1.7647843696701691</c:v>
                </c:pt>
                <c:pt idx="2">
                  <c:v>2.3798769303239879</c:v>
                </c:pt>
                <c:pt idx="3">
                  <c:v>1.9129921887569501</c:v>
                </c:pt>
                <c:pt idx="4">
                  <c:v>4.404378313587249E-2</c:v>
                </c:pt>
                <c:pt idx="5">
                  <c:v>2.0128399198017419</c:v>
                </c:pt>
                <c:pt idx="6">
                  <c:v>1.333224149046513E-2</c:v>
                </c:pt>
                <c:pt idx="7">
                  <c:v>1.7924499511718751E-2</c:v>
                </c:pt>
                <c:pt idx="8">
                  <c:v>1.429886496528078</c:v>
                </c:pt>
                <c:pt idx="9">
                  <c:v>0.62952361626647657</c:v>
                </c:pt>
                <c:pt idx="10">
                  <c:v>1.422478323855235</c:v>
                </c:pt>
                <c:pt idx="11">
                  <c:v>5.8483591557372634E-3</c:v>
                </c:pt>
                <c:pt idx="12">
                  <c:v>0.88832191476555378</c:v>
                </c:pt>
                <c:pt idx="13">
                  <c:v>1.8074967544690701</c:v>
                </c:pt>
                <c:pt idx="14">
                  <c:v>1.6760144748297059</c:v>
                </c:pt>
              </c:numCache>
            </c:numRef>
          </c:xVal>
          <c:yVal>
            <c:numRef>
              <c:f>comparatie_metode!$D$2:$D$16</c:f>
              <c:numCache>
                <c:formatCode>0.00</c:formatCode>
                <c:ptCount val="15"/>
                <c:pt idx="0">
                  <c:v>2.4009999999999998</c:v>
                </c:pt>
                <c:pt idx="1">
                  <c:v>3.048</c:v>
                </c:pt>
                <c:pt idx="2">
                  <c:v>3.8839999999999999</c:v>
                </c:pt>
                <c:pt idx="3">
                  <c:v>2.8069999999999999</c:v>
                </c:pt>
                <c:pt idx="4">
                  <c:v>1.7789999999999999</c:v>
                </c:pt>
                <c:pt idx="5">
                  <c:v>2.778</c:v>
                </c:pt>
                <c:pt idx="6">
                  <c:v>1.9E-2</c:v>
                </c:pt>
                <c:pt idx="7">
                  <c:v>7.2999999999999995E-2</c:v>
                </c:pt>
                <c:pt idx="8">
                  <c:v>2.0779999999999998</c:v>
                </c:pt>
                <c:pt idx="9">
                  <c:v>1.7569999999999999</c:v>
                </c:pt>
                <c:pt idx="10">
                  <c:v>3.0169999999999999</c:v>
                </c:pt>
                <c:pt idx="11">
                  <c:v>6.8000000000000005E-2</c:v>
                </c:pt>
                <c:pt idx="12">
                  <c:v>2.5169999999999999</c:v>
                </c:pt>
                <c:pt idx="13">
                  <c:v>3.9060000000000001</c:v>
                </c:pt>
                <c:pt idx="14">
                  <c:v>3.69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ED-46FC-87E5-F651583A2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704319"/>
        <c:axId val="1374057071"/>
      </c:scatterChart>
      <c:valAx>
        <c:axId val="143070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057071"/>
        <c:crosses val="autoZero"/>
        <c:crossBetween val="midCat"/>
      </c:valAx>
      <c:valAx>
        <c:axId val="137405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704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525780</xdr:colOff>
      <xdr:row>1</xdr:row>
      <xdr:rowOff>49530</xdr:rowOff>
    </xdr:from>
    <xdr:to>
      <xdr:col>10</xdr:col>
      <xdr:colOff>982980</xdr:colOff>
      <xdr:row>16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343F66-F566-4A07-BF40-18D62FFD6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A1232-5042-4265-8A0A-C6DAEF7D34B5}">
  <dimension ref="A1:C17"/>
  <sheetViews>
    <sheetView workbookViewId="0">
      <selection activeCell="A17" sqref="A17:B17"/>
    </sheetView>
  </sheetViews>
  <sheetFormatPr defaultRowHeight="13.2" x14ac:dyDescent="0.25"/>
  <cols>
    <col min="2" max="2" width="11" bestFit="1" customWidth="1"/>
    <col min="3" max="3" width="13.109375" bestFit="1" customWidth="1"/>
  </cols>
  <sheetData>
    <row r="1" spans="1:3" ht="13.8" x14ac:dyDescent="0.25">
      <c r="A1" s="3" t="s">
        <v>7</v>
      </c>
      <c r="B1" s="3" t="s">
        <v>6</v>
      </c>
      <c r="C1" s="4" t="s">
        <v>4</v>
      </c>
    </row>
    <row r="2" spans="1:3" ht="13.8" x14ac:dyDescent="0.25">
      <c r="A2" s="1">
        <v>1</v>
      </c>
      <c r="B2" s="1" t="s">
        <v>0</v>
      </c>
      <c r="C2" s="2">
        <v>1.3199889487034979</v>
      </c>
    </row>
    <row r="3" spans="1:3" ht="13.8" x14ac:dyDescent="0.25">
      <c r="A3" s="1">
        <v>2</v>
      </c>
      <c r="B3" s="1" t="s">
        <v>0</v>
      </c>
      <c r="C3" s="2">
        <v>1.7647843696701691</v>
      </c>
    </row>
    <row r="4" spans="1:3" ht="13.8" x14ac:dyDescent="0.25">
      <c r="A4" s="1">
        <v>3</v>
      </c>
      <c r="B4" s="1" t="s">
        <v>0</v>
      </c>
      <c r="C4" s="2">
        <v>2.3798769303239879</v>
      </c>
    </row>
    <row r="5" spans="1:3" ht="13.8" x14ac:dyDescent="0.25">
      <c r="A5" s="1">
        <v>4</v>
      </c>
      <c r="B5" s="1" t="s">
        <v>0</v>
      </c>
      <c r="C5" s="2">
        <v>1.9129921887569501</v>
      </c>
    </row>
    <row r="6" spans="1:3" ht="13.8" x14ac:dyDescent="0.25">
      <c r="A6" s="1">
        <v>5</v>
      </c>
      <c r="B6" s="1" t="s">
        <v>1</v>
      </c>
      <c r="C6" s="2">
        <v>4.404378313587249E-2</v>
      </c>
    </row>
    <row r="7" spans="1:3" ht="13.8" x14ac:dyDescent="0.25">
      <c r="A7" s="1">
        <v>6</v>
      </c>
      <c r="B7" s="1" t="s">
        <v>0</v>
      </c>
      <c r="C7" s="2">
        <v>2.0128399198017419</v>
      </c>
    </row>
    <row r="8" spans="1:3" ht="13.8" x14ac:dyDescent="0.25">
      <c r="A8" s="1">
        <v>7</v>
      </c>
      <c r="B8" s="1" t="s">
        <v>2</v>
      </c>
      <c r="C8" s="2">
        <v>1.333224149046513E-2</v>
      </c>
    </row>
    <row r="9" spans="1:3" ht="13.8" x14ac:dyDescent="0.25">
      <c r="A9" s="1">
        <v>8</v>
      </c>
      <c r="B9" s="1" t="s">
        <v>0</v>
      </c>
      <c r="C9" s="2">
        <v>1.7924499511718751E-2</v>
      </c>
    </row>
    <row r="10" spans="1:3" ht="13.8" x14ac:dyDescent="0.25">
      <c r="A10" s="1">
        <v>9</v>
      </c>
      <c r="B10" s="1" t="s">
        <v>3</v>
      </c>
      <c r="C10" s="2">
        <v>1.429886496528078</v>
      </c>
    </row>
    <row r="11" spans="1:3" ht="13.8" x14ac:dyDescent="0.25">
      <c r="A11" s="1">
        <v>10</v>
      </c>
      <c r="B11" s="1" t="s">
        <v>3</v>
      </c>
      <c r="C11" s="2">
        <v>0.62952361626647657</v>
      </c>
    </row>
    <row r="12" spans="1:3" ht="13.8" x14ac:dyDescent="0.25">
      <c r="A12" s="1">
        <v>11</v>
      </c>
      <c r="B12" s="1" t="s">
        <v>3</v>
      </c>
      <c r="C12" s="2">
        <v>1.422478323855235</v>
      </c>
    </row>
    <row r="13" spans="1:3" ht="13.8" x14ac:dyDescent="0.25">
      <c r="A13" s="1">
        <v>12</v>
      </c>
      <c r="B13" s="1" t="s">
        <v>3</v>
      </c>
      <c r="C13" s="2">
        <v>5.8483591557372634E-3</v>
      </c>
    </row>
    <row r="14" spans="1:3" ht="13.8" x14ac:dyDescent="0.25">
      <c r="A14" s="1">
        <v>13</v>
      </c>
      <c r="B14" s="1" t="s">
        <v>2</v>
      </c>
      <c r="C14" s="2">
        <v>0.88832191476555378</v>
      </c>
    </row>
    <row r="15" spans="1:3" ht="13.8" x14ac:dyDescent="0.25">
      <c r="A15" s="1">
        <v>14</v>
      </c>
      <c r="B15" s="1" t="s">
        <v>2</v>
      </c>
      <c r="C15" s="2">
        <v>1.8074967544690701</v>
      </c>
    </row>
    <row r="16" spans="1:3" ht="14.4" thickBot="1" x14ac:dyDescent="0.3">
      <c r="A16" s="1">
        <v>15</v>
      </c>
      <c r="B16" s="1" t="s">
        <v>2</v>
      </c>
      <c r="C16" s="2">
        <v>1.6760144748297059</v>
      </c>
    </row>
    <row r="17" spans="1:3" ht="14.4" thickBot="1" x14ac:dyDescent="0.3">
      <c r="A17" s="7" t="s">
        <v>13</v>
      </c>
      <c r="B17" s="8"/>
      <c r="C17" s="6">
        <f>AVERAGE(C2:C16)</f>
        <v>1.1550235214176174</v>
      </c>
    </row>
  </sheetData>
  <mergeCells count="1">
    <mergeCell ref="A17:B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05934-0ECB-405A-A167-F9945C893EDB}">
  <dimension ref="A1:C17"/>
  <sheetViews>
    <sheetView workbookViewId="0">
      <selection activeCell="C17" sqref="C17"/>
    </sheetView>
  </sheetViews>
  <sheetFormatPr defaultRowHeight="13.2" x14ac:dyDescent="0.25"/>
  <cols>
    <col min="3" max="3" width="12.77734375" bestFit="1" customWidth="1"/>
  </cols>
  <sheetData>
    <row r="1" spans="1:3" ht="13.8" x14ac:dyDescent="0.25">
      <c r="A1" s="3" t="s">
        <v>7</v>
      </c>
      <c r="B1" s="3" t="s">
        <v>6</v>
      </c>
      <c r="C1" s="4" t="s">
        <v>5</v>
      </c>
    </row>
    <row r="2" spans="1:3" ht="13.8" x14ac:dyDescent="0.25">
      <c r="A2" s="1">
        <v>1</v>
      </c>
      <c r="B2" s="1" t="s">
        <v>0</v>
      </c>
      <c r="C2" s="2">
        <v>2.4009999999999998</v>
      </c>
    </row>
    <row r="3" spans="1:3" ht="13.8" x14ac:dyDescent="0.25">
      <c r="A3" s="1">
        <v>2</v>
      </c>
      <c r="B3" s="1" t="s">
        <v>0</v>
      </c>
      <c r="C3" s="2">
        <v>3.048</v>
      </c>
    </row>
    <row r="4" spans="1:3" ht="13.8" x14ac:dyDescent="0.25">
      <c r="A4" s="1">
        <v>3</v>
      </c>
      <c r="B4" s="1" t="s">
        <v>0</v>
      </c>
      <c r="C4" s="2">
        <v>3.8839999999999999</v>
      </c>
    </row>
    <row r="5" spans="1:3" ht="13.8" x14ac:dyDescent="0.25">
      <c r="A5" s="1">
        <v>4</v>
      </c>
      <c r="B5" s="1" t="s">
        <v>0</v>
      </c>
      <c r="C5" s="2">
        <v>2.8069999999999999</v>
      </c>
    </row>
    <row r="6" spans="1:3" ht="13.8" x14ac:dyDescent="0.25">
      <c r="A6" s="1">
        <v>5</v>
      </c>
      <c r="B6" s="1" t="s">
        <v>1</v>
      </c>
      <c r="C6" s="2">
        <v>1.7789999999999999</v>
      </c>
    </row>
    <row r="7" spans="1:3" ht="13.8" x14ac:dyDescent="0.25">
      <c r="A7" s="1">
        <v>6</v>
      </c>
      <c r="B7" s="1" t="s">
        <v>0</v>
      </c>
      <c r="C7" s="2">
        <v>2.778</v>
      </c>
    </row>
    <row r="8" spans="1:3" ht="13.8" x14ac:dyDescent="0.25">
      <c r="A8" s="1">
        <v>7</v>
      </c>
      <c r="B8" s="1" t="s">
        <v>2</v>
      </c>
      <c r="C8" s="2">
        <v>1.9E-2</v>
      </c>
    </row>
    <row r="9" spans="1:3" ht="13.8" x14ac:dyDescent="0.25">
      <c r="A9" s="1">
        <v>8</v>
      </c>
      <c r="B9" s="1" t="s">
        <v>0</v>
      </c>
      <c r="C9" s="2">
        <v>7.2999999999999995E-2</v>
      </c>
    </row>
    <row r="10" spans="1:3" ht="13.8" x14ac:dyDescent="0.25">
      <c r="A10" s="1">
        <v>9</v>
      </c>
      <c r="B10" s="1" t="s">
        <v>3</v>
      </c>
      <c r="C10" s="2">
        <v>2.0779999999999998</v>
      </c>
    </row>
    <row r="11" spans="1:3" ht="13.8" x14ac:dyDescent="0.25">
      <c r="A11" s="1">
        <v>10</v>
      </c>
      <c r="B11" s="1" t="s">
        <v>3</v>
      </c>
      <c r="C11" s="2">
        <v>1.7569999999999999</v>
      </c>
    </row>
    <row r="12" spans="1:3" ht="13.8" x14ac:dyDescent="0.25">
      <c r="A12" s="1">
        <v>11</v>
      </c>
      <c r="B12" s="1" t="s">
        <v>3</v>
      </c>
      <c r="C12" s="2">
        <v>3.0169999999999999</v>
      </c>
    </row>
    <row r="13" spans="1:3" ht="13.8" x14ac:dyDescent="0.25">
      <c r="A13" s="1">
        <v>12</v>
      </c>
      <c r="B13" s="1" t="s">
        <v>3</v>
      </c>
      <c r="C13" s="2">
        <v>6.8000000000000005E-2</v>
      </c>
    </row>
    <row r="14" spans="1:3" ht="13.8" x14ac:dyDescent="0.25">
      <c r="A14" s="1">
        <v>13</v>
      </c>
      <c r="B14" s="1" t="s">
        <v>2</v>
      </c>
      <c r="C14" s="2">
        <v>2.5169999999999999</v>
      </c>
    </row>
    <row r="15" spans="1:3" ht="13.8" x14ac:dyDescent="0.25">
      <c r="A15" s="1">
        <v>14</v>
      </c>
      <c r="B15" s="1" t="s">
        <v>2</v>
      </c>
      <c r="C15" s="2">
        <v>3.9060000000000001</v>
      </c>
    </row>
    <row r="16" spans="1:3" ht="14.4" thickBot="1" x14ac:dyDescent="0.3">
      <c r="A16" s="1">
        <v>15</v>
      </c>
      <c r="B16" s="1" t="s">
        <v>2</v>
      </c>
      <c r="C16" s="2">
        <v>3.69</v>
      </c>
    </row>
    <row r="17" spans="1:3" ht="14.4" thickBot="1" x14ac:dyDescent="0.3">
      <c r="A17" s="7" t="s">
        <v>13</v>
      </c>
      <c r="B17" s="8"/>
      <c r="C17" s="6">
        <f>AVERAGE(C2:C16)</f>
        <v>2.2547999999999999</v>
      </c>
    </row>
  </sheetData>
  <mergeCells count="1">
    <mergeCell ref="A17:B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zoomScaleNormal="100" workbookViewId="0">
      <selection sqref="A1:F17"/>
    </sheetView>
  </sheetViews>
  <sheetFormatPr defaultRowHeight="13.2" x14ac:dyDescent="0.25"/>
  <cols>
    <col min="1" max="5" width="15"/>
    <col min="6" max="6" width="24.6640625" bestFit="1" customWidth="1"/>
    <col min="7" max="1010" width="15"/>
  </cols>
  <sheetData>
    <row r="1" spans="1:6" ht="13.8" x14ac:dyDescent="0.25">
      <c r="A1" s="3" t="s">
        <v>7</v>
      </c>
      <c r="B1" s="3" t="s">
        <v>6</v>
      </c>
      <c r="C1" s="4" t="s">
        <v>4</v>
      </c>
      <c r="D1" s="4" t="s">
        <v>5</v>
      </c>
      <c r="E1" s="4" t="s">
        <v>8</v>
      </c>
      <c r="F1" s="4" t="s">
        <v>9</v>
      </c>
    </row>
    <row r="2" spans="1:6" ht="13.8" x14ac:dyDescent="0.25">
      <c r="A2" s="1">
        <v>1</v>
      </c>
      <c r="B2" s="1" t="s">
        <v>0</v>
      </c>
      <c r="C2" s="2">
        <v>1.3199889487034979</v>
      </c>
      <c r="D2" s="2">
        <v>2.4009999999999998</v>
      </c>
      <c r="E2" s="2">
        <f>D2-C2</f>
        <v>1.0810110512965019</v>
      </c>
      <c r="F2" s="2" t="s">
        <v>11</v>
      </c>
    </row>
    <row r="3" spans="1:6" ht="13.8" x14ac:dyDescent="0.25">
      <c r="A3" s="1">
        <v>2</v>
      </c>
      <c r="B3" s="1" t="s">
        <v>0</v>
      </c>
      <c r="C3" s="2">
        <v>1.7647843696701691</v>
      </c>
      <c r="D3" s="2">
        <v>3.048</v>
      </c>
      <c r="E3" s="2">
        <f t="shared" ref="E3:E16" si="0">D3-C3</f>
        <v>1.283215630329831</v>
      </c>
      <c r="F3" s="2" t="s">
        <v>11</v>
      </c>
    </row>
    <row r="4" spans="1:6" ht="13.8" x14ac:dyDescent="0.25">
      <c r="A4" s="1">
        <v>3</v>
      </c>
      <c r="B4" s="1" t="s">
        <v>0</v>
      </c>
      <c r="C4" s="2">
        <v>2.3798769303239879</v>
      </c>
      <c r="D4" s="2">
        <v>3.8839999999999999</v>
      </c>
      <c r="E4" s="2">
        <f t="shared" si="0"/>
        <v>1.5041230696760119</v>
      </c>
      <c r="F4" s="2" t="s">
        <v>11</v>
      </c>
    </row>
    <row r="5" spans="1:6" ht="13.8" x14ac:dyDescent="0.25">
      <c r="A5" s="1">
        <v>4</v>
      </c>
      <c r="B5" s="1" t="s">
        <v>0</v>
      </c>
      <c r="C5" s="2">
        <v>1.9129921887569501</v>
      </c>
      <c r="D5" s="2">
        <v>2.8069999999999999</v>
      </c>
      <c r="E5" s="2">
        <f t="shared" si="0"/>
        <v>0.89400781124304984</v>
      </c>
      <c r="F5" s="2" t="s">
        <v>11</v>
      </c>
    </row>
    <row r="6" spans="1:6" ht="13.8" x14ac:dyDescent="0.25">
      <c r="A6" s="1">
        <v>5</v>
      </c>
      <c r="B6" s="1" t="s">
        <v>1</v>
      </c>
      <c r="C6" s="2">
        <v>4.404378313587249E-2</v>
      </c>
      <c r="D6" s="2">
        <v>1.7789999999999999</v>
      </c>
      <c r="E6" s="2">
        <f t="shared" si="0"/>
        <v>1.7349562168641275</v>
      </c>
      <c r="F6" s="2" t="s">
        <v>12</v>
      </c>
    </row>
    <row r="7" spans="1:6" ht="13.8" x14ac:dyDescent="0.25">
      <c r="A7" s="1">
        <v>6</v>
      </c>
      <c r="B7" s="1" t="s">
        <v>0</v>
      </c>
      <c r="C7" s="2">
        <v>2.0128399198017419</v>
      </c>
      <c r="D7" s="2">
        <v>2.778</v>
      </c>
      <c r="E7" s="2">
        <f t="shared" si="0"/>
        <v>0.7651600801982581</v>
      </c>
      <c r="F7" s="2" t="s">
        <v>11</v>
      </c>
    </row>
    <row r="8" spans="1:6" ht="13.8" x14ac:dyDescent="0.25">
      <c r="A8" s="1">
        <v>7</v>
      </c>
      <c r="B8" s="1" t="s">
        <v>2</v>
      </c>
      <c r="C8" s="2">
        <v>1.333224149046513E-2</v>
      </c>
      <c r="D8" s="2">
        <v>1.9E-2</v>
      </c>
      <c r="E8" s="2">
        <f t="shared" si="0"/>
        <v>5.6677585095348693E-3</v>
      </c>
      <c r="F8" s="2" t="s">
        <v>10</v>
      </c>
    </row>
    <row r="9" spans="1:6" ht="13.8" x14ac:dyDescent="0.25">
      <c r="A9" s="1">
        <v>8</v>
      </c>
      <c r="B9" s="1" t="s">
        <v>0</v>
      </c>
      <c r="C9" s="2">
        <v>1.7924499511718751E-2</v>
      </c>
      <c r="D9" s="2">
        <v>7.2999999999999995E-2</v>
      </c>
      <c r="E9" s="2">
        <f t="shared" si="0"/>
        <v>5.5075500488281248E-2</v>
      </c>
      <c r="F9" s="2" t="s">
        <v>10</v>
      </c>
    </row>
    <row r="10" spans="1:6" ht="13.8" x14ac:dyDescent="0.25">
      <c r="A10" s="1">
        <v>9</v>
      </c>
      <c r="B10" s="1" t="s">
        <v>3</v>
      </c>
      <c r="C10" s="2">
        <v>1.429886496528078</v>
      </c>
      <c r="D10" s="2">
        <v>2.0779999999999998</v>
      </c>
      <c r="E10" s="2">
        <f t="shared" si="0"/>
        <v>0.64811350347192187</v>
      </c>
      <c r="F10" s="2" t="s">
        <v>11</v>
      </c>
    </row>
    <row r="11" spans="1:6" ht="13.8" x14ac:dyDescent="0.25">
      <c r="A11" s="1">
        <v>10</v>
      </c>
      <c r="B11" s="1" t="s">
        <v>3</v>
      </c>
      <c r="C11" s="2">
        <v>0.62952361626647657</v>
      </c>
      <c r="D11" s="2">
        <v>1.7569999999999999</v>
      </c>
      <c r="E11" s="2">
        <f t="shared" si="0"/>
        <v>1.1274763837335233</v>
      </c>
      <c r="F11" s="2" t="s">
        <v>11</v>
      </c>
    </row>
    <row r="12" spans="1:6" ht="13.8" x14ac:dyDescent="0.25">
      <c r="A12" s="1">
        <v>11</v>
      </c>
      <c r="B12" s="1" t="s">
        <v>3</v>
      </c>
      <c r="C12" s="2">
        <v>1.422478323855235</v>
      </c>
      <c r="D12" s="2">
        <v>3.0169999999999999</v>
      </c>
      <c r="E12" s="2">
        <f t="shared" si="0"/>
        <v>1.5945216761447649</v>
      </c>
      <c r="F12" s="2" t="s">
        <v>11</v>
      </c>
    </row>
    <row r="13" spans="1:6" ht="13.8" x14ac:dyDescent="0.25">
      <c r="A13" s="1">
        <v>12</v>
      </c>
      <c r="B13" s="1" t="s">
        <v>3</v>
      </c>
      <c r="C13" s="2">
        <v>5.8483591557372634E-3</v>
      </c>
      <c r="D13" s="2">
        <v>6.8000000000000005E-2</v>
      </c>
      <c r="E13" s="2">
        <f t="shared" si="0"/>
        <v>6.2151640844262744E-2</v>
      </c>
      <c r="F13" s="2" t="s">
        <v>10</v>
      </c>
    </row>
    <row r="14" spans="1:6" ht="13.8" x14ac:dyDescent="0.25">
      <c r="A14" s="1">
        <v>13</v>
      </c>
      <c r="B14" s="1" t="s">
        <v>2</v>
      </c>
      <c r="C14" s="2">
        <v>0.88832191476555378</v>
      </c>
      <c r="D14" s="2">
        <v>2.5169999999999999</v>
      </c>
      <c r="E14" s="2">
        <f t="shared" si="0"/>
        <v>1.628678085234446</v>
      </c>
      <c r="F14" s="2" t="s">
        <v>11</v>
      </c>
    </row>
    <row r="15" spans="1:6" ht="13.8" x14ac:dyDescent="0.25">
      <c r="A15" s="1">
        <v>14</v>
      </c>
      <c r="B15" s="1" t="s">
        <v>2</v>
      </c>
      <c r="C15" s="2">
        <v>1.8074967544690701</v>
      </c>
      <c r="D15" s="2">
        <v>3.9060000000000001</v>
      </c>
      <c r="E15" s="2">
        <f t="shared" si="0"/>
        <v>2.0985032455309298</v>
      </c>
      <c r="F15" s="2" t="s">
        <v>11</v>
      </c>
    </row>
    <row r="16" spans="1:6" ht="14.4" thickBot="1" x14ac:dyDescent="0.3">
      <c r="A16" s="1">
        <v>15</v>
      </c>
      <c r="B16" s="1" t="s">
        <v>2</v>
      </c>
      <c r="C16" s="2">
        <v>1.6760144748297059</v>
      </c>
      <c r="D16" s="2">
        <v>3.69</v>
      </c>
      <c r="E16" s="2">
        <f t="shared" si="0"/>
        <v>2.0139855251702938</v>
      </c>
      <c r="F16" s="2" t="s">
        <v>11</v>
      </c>
    </row>
    <row r="17" spans="1:8" ht="14.4" thickBot="1" x14ac:dyDescent="0.3">
      <c r="A17" s="7" t="s">
        <v>13</v>
      </c>
      <c r="B17" s="8"/>
      <c r="C17" s="5">
        <f>AVERAGE(C2:C16)</f>
        <v>1.1550235214176174</v>
      </c>
      <c r="D17" s="6">
        <f>AVERAGE(D2:D16)</f>
        <v>2.2547999999999999</v>
      </c>
      <c r="E17" s="6">
        <f>AVERAGE(E2:E16)</f>
        <v>1.0997764785823825</v>
      </c>
    </row>
    <row r="22" spans="1:8" x14ac:dyDescent="0.25">
      <c r="H22" t="s">
        <v>14</v>
      </c>
    </row>
  </sheetData>
  <mergeCells count="1">
    <mergeCell ref="A17:B17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inaltime_met_1</vt:lpstr>
      <vt:lpstr>inaltime_met_2</vt:lpstr>
      <vt:lpstr>comparatie_metode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Daria-Ioana SICARU (142713)</cp:lastModifiedBy>
  <cp:revision>0</cp:revision>
  <cp:lastPrinted>2026-08-14T16:11:41Z</cp:lastPrinted>
  <dcterms:modified xsi:type="dcterms:W3CDTF">2026-08-14T16:27:09Z</dcterms:modified>
</cp:coreProperties>
</file>