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QGIS\Proiect_vara\Proiect_livada\Q_GIS\Excel\"/>
    </mc:Choice>
  </mc:AlternateContent>
  <xr:revisionPtr revIDLastSave="0" documentId="13_ncr:1_{797244F7-99DD-402D-9185-0E70ABC1585F}" xr6:coauthVersionLast="47" xr6:coauthVersionMax="47" xr10:uidLastSave="{00000000-0000-0000-0000-000000000000}"/>
  <bookViews>
    <workbookView xWindow="2160" yWindow="2160" windowWidth="17280" windowHeight="8880" firstSheet="1" activeTab="2" xr2:uid="{00000000-000D-0000-FFFF-FFFF00000000}"/>
  </bookViews>
  <sheets>
    <sheet name="inaltime_met_1" sheetId="2" r:id="rId1"/>
    <sheet name="inaltime_met_2" sheetId="3" r:id="rId2"/>
    <sheet name="inaltime_met_3" sheetId="5" r:id="rId3"/>
    <sheet name="comparatie_metode" sheetId="1" r:id="rId4"/>
    <sheet name="Analiza_validare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5" l="1"/>
  <c r="E12" i="7"/>
  <c r="E13" i="7"/>
  <c r="E11" i="7"/>
  <c r="D13" i="7" a="1"/>
  <c r="D13" i="7" s="1"/>
  <c r="D12" i="7" a="1"/>
  <c r="D12" i="7" s="1"/>
  <c r="D11" i="7" a="1"/>
  <c r="D11" i="7" s="1"/>
  <c r="C13" i="7" a="1"/>
  <c r="C13" i="7"/>
  <c r="C12" i="7" a="1"/>
  <c r="C12" i="7" s="1"/>
  <c r="C11" i="7" a="1"/>
  <c r="C11" i="7" s="1"/>
  <c r="B13" i="7" a="1"/>
  <c r="B13" i="7" s="1"/>
  <c r="B12" i="7" a="1"/>
  <c r="B12" i="7" s="1"/>
  <c r="B11" i="7" a="1"/>
  <c r="B11" i="7" s="1"/>
  <c r="D3" i="7"/>
  <c r="D4" i="7"/>
  <c r="D5" i="7"/>
  <c r="B5" i="7"/>
  <c r="B4" i="7"/>
  <c r="B3" i="7"/>
  <c r="G1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C17" i="3"/>
  <c r="C1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<sst xmlns="http://schemas.openxmlformats.org/spreadsheetml/2006/main" count="99" uniqueCount="31">
  <si>
    <t>Mar</t>
  </si>
  <si>
    <t>Gutui</t>
  </si>
  <si>
    <t>Prun</t>
  </si>
  <si>
    <t>Par</t>
  </si>
  <si>
    <t>Înălțime_CHM</t>
  </si>
  <si>
    <t>Înălțime_DSM</t>
  </si>
  <si>
    <t>Specie</t>
  </si>
  <si>
    <t>ID</t>
  </si>
  <si>
    <t>Medie valori:</t>
  </si>
  <si>
    <t xml:space="preserve"> </t>
  </si>
  <si>
    <t>Înălțime_CloudCompare</t>
  </si>
  <si>
    <t>Detectat de toate</t>
  </si>
  <si>
    <t>Teren (m)</t>
  </si>
  <si>
    <t>Înălțime CloudCompare (m)</t>
  </si>
  <si>
    <t>Înălțime DSM (m)</t>
  </si>
  <si>
    <t>Înălțime CHM (m)</t>
  </si>
  <si>
    <t>Prag detectie (m):</t>
  </si>
  <si>
    <t>(sub acest prag este considerat "nedetectat")</t>
  </si>
  <si>
    <t>Rata de detectie</t>
  </si>
  <si>
    <t>Metoda</t>
  </si>
  <si>
    <t>Pomi detectati</t>
  </si>
  <si>
    <t>Total pomi</t>
  </si>
  <si>
    <t>Rata detectie</t>
  </si>
  <si>
    <t>CHM</t>
  </si>
  <si>
    <t>DSM</t>
  </si>
  <si>
    <t>CloudCompare</t>
  </si>
  <si>
    <t xml:space="preserve">Precizie </t>
  </si>
  <si>
    <t>RMSE (m)</t>
  </si>
  <si>
    <t>MAE (m)</t>
  </si>
  <si>
    <t>Bias mediu (m)</t>
  </si>
  <si>
    <t>Interpretare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</si>
</sst>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name val="Arial"/>
      <family val="2"/>
    </font>
    <font>
      <sz val="11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b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2" fontId="1" fillId="5" borderId="14" xfId="0" applyNumberFormat="1" applyFont="1" applyFill="1" applyBorder="1" applyAlignment="1">
      <alignment horizontal="center"/>
    </xf>
    <xf numFmtId="2" fontId="1" fillId="5" borderId="15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2" fontId="1" fillId="0" borderId="13" xfId="0" applyNumberFormat="1" applyFont="1" applyBorder="1" applyAlignment="1">
      <alignment horizontal="center"/>
    </xf>
    <xf numFmtId="2" fontId="1" fillId="5" borderId="5" xfId="0" applyNumberFormat="1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9" fontId="1" fillId="0" borderId="8" xfId="1" applyFont="1" applyBorder="1" applyAlignment="1">
      <alignment horizontal="center"/>
    </xf>
    <xf numFmtId="9" fontId="1" fillId="0" borderId="10" xfId="1" applyFont="1" applyBorder="1" applyAlignment="1">
      <alignment horizontal="center"/>
    </xf>
    <xf numFmtId="9" fontId="1" fillId="0" borderId="12" xfId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2" fontId="4" fillId="6" borderId="14" xfId="0" applyNumberFormat="1" applyFont="1" applyFill="1" applyBorder="1" applyAlignment="1">
      <alignment horizontal="center"/>
    </xf>
    <xf numFmtId="2" fontId="4" fillId="6" borderId="4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2" fontId="3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A1232-5042-4265-8A0A-C6DAEF7D34B5}">
  <dimension ref="A1:C17"/>
  <sheetViews>
    <sheetView topLeftCell="A10" workbookViewId="0">
      <selection activeCell="F23" sqref="F23"/>
    </sheetView>
  </sheetViews>
  <sheetFormatPr defaultRowHeight="13.2" x14ac:dyDescent="0.25"/>
  <cols>
    <col min="2" max="2" width="11" bestFit="1" customWidth="1"/>
    <col min="3" max="3" width="13.109375" bestFit="1" customWidth="1"/>
  </cols>
  <sheetData>
    <row r="1" spans="1:3" ht="13.8" x14ac:dyDescent="0.25">
      <c r="A1" s="3" t="s">
        <v>7</v>
      </c>
      <c r="B1" s="3" t="s">
        <v>6</v>
      </c>
      <c r="C1" s="4" t="s">
        <v>4</v>
      </c>
    </row>
    <row r="2" spans="1:3" ht="13.8" x14ac:dyDescent="0.25">
      <c r="A2" s="1">
        <v>1</v>
      </c>
      <c r="B2" s="1" t="s">
        <v>0</v>
      </c>
      <c r="C2" s="2">
        <v>1.3199889487034979</v>
      </c>
    </row>
    <row r="3" spans="1:3" ht="13.8" x14ac:dyDescent="0.25">
      <c r="A3" s="1">
        <v>2</v>
      </c>
      <c r="B3" s="1" t="s">
        <v>0</v>
      </c>
      <c r="C3" s="2">
        <v>1.7647843696701691</v>
      </c>
    </row>
    <row r="4" spans="1:3" ht="13.8" x14ac:dyDescent="0.25">
      <c r="A4" s="1">
        <v>3</v>
      </c>
      <c r="B4" s="1" t="s">
        <v>0</v>
      </c>
      <c r="C4" s="2">
        <v>2.3798769303239879</v>
      </c>
    </row>
    <row r="5" spans="1:3" ht="13.8" x14ac:dyDescent="0.25">
      <c r="A5" s="1">
        <v>4</v>
      </c>
      <c r="B5" s="1" t="s">
        <v>0</v>
      </c>
      <c r="C5" s="2">
        <v>1.9129921887569501</v>
      </c>
    </row>
    <row r="6" spans="1:3" ht="13.8" x14ac:dyDescent="0.25">
      <c r="A6" s="1">
        <v>5</v>
      </c>
      <c r="B6" s="1" t="s">
        <v>1</v>
      </c>
      <c r="C6" s="2">
        <v>4.404378313587249E-2</v>
      </c>
    </row>
    <row r="7" spans="1:3" ht="13.8" x14ac:dyDescent="0.25">
      <c r="A7" s="1">
        <v>6</v>
      </c>
      <c r="B7" s="1" t="s">
        <v>0</v>
      </c>
      <c r="C7" s="2">
        <v>2.0128399198017419</v>
      </c>
    </row>
    <row r="8" spans="1:3" ht="13.8" x14ac:dyDescent="0.25">
      <c r="A8" s="1">
        <v>7</v>
      </c>
      <c r="B8" s="1" t="s">
        <v>2</v>
      </c>
      <c r="C8" s="2">
        <v>1.333224149046513E-2</v>
      </c>
    </row>
    <row r="9" spans="1:3" ht="13.8" x14ac:dyDescent="0.25">
      <c r="A9" s="1">
        <v>8</v>
      </c>
      <c r="B9" s="1" t="s">
        <v>0</v>
      </c>
      <c r="C9" s="2">
        <v>1.7924499511718751E-2</v>
      </c>
    </row>
    <row r="10" spans="1:3" ht="13.8" x14ac:dyDescent="0.25">
      <c r="A10" s="1">
        <v>9</v>
      </c>
      <c r="B10" s="1" t="s">
        <v>3</v>
      </c>
      <c r="C10" s="2">
        <v>1.429886496528078</v>
      </c>
    </row>
    <row r="11" spans="1:3" ht="13.8" x14ac:dyDescent="0.25">
      <c r="A11" s="1">
        <v>10</v>
      </c>
      <c r="B11" s="1" t="s">
        <v>3</v>
      </c>
      <c r="C11" s="2">
        <v>0.62952361626647657</v>
      </c>
    </row>
    <row r="12" spans="1:3" ht="13.8" x14ac:dyDescent="0.25">
      <c r="A12" s="1">
        <v>11</v>
      </c>
      <c r="B12" s="1" t="s">
        <v>3</v>
      </c>
      <c r="C12" s="2">
        <v>1.422478323855235</v>
      </c>
    </row>
    <row r="13" spans="1:3" ht="13.8" x14ac:dyDescent="0.25">
      <c r="A13" s="1">
        <v>12</v>
      </c>
      <c r="B13" s="1" t="s">
        <v>3</v>
      </c>
      <c r="C13" s="2">
        <v>5.8483591557372634E-3</v>
      </c>
    </row>
    <row r="14" spans="1:3" ht="13.8" x14ac:dyDescent="0.25">
      <c r="A14" s="1">
        <v>13</v>
      </c>
      <c r="B14" s="1" t="s">
        <v>2</v>
      </c>
      <c r="C14" s="2">
        <v>0.88832191476555378</v>
      </c>
    </row>
    <row r="15" spans="1:3" ht="13.8" x14ac:dyDescent="0.25">
      <c r="A15" s="1">
        <v>14</v>
      </c>
      <c r="B15" s="1" t="s">
        <v>2</v>
      </c>
      <c r="C15" s="2">
        <v>1.8074967544690701</v>
      </c>
    </row>
    <row r="16" spans="1:3" ht="14.4" thickBot="1" x14ac:dyDescent="0.3">
      <c r="A16" s="1">
        <v>15</v>
      </c>
      <c r="B16" s="1" t="s">
        <v>2</v>
      </c>
      <c r="C16" s="2">
        <v>1.6760144748297059</v>
      </c>
    </row>
    <row r="17" spans="1:3" ht="14.4" thickBot="1" x14ac:dyDescent="0.3">
      <c r="A17" s="30" t="s">
        <v>8</v>
      </c>
      <c r="B17" s="31"/>
      <c r="C17" s="5">
        <f>AVERAGE(C2:C16)</f>
        <v>1.1550235214176174</v>
      </c>
    </row>
  </sheetData>
  <mergeCells count="1">
    <mergeCell ref="A17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05934-0ECB-405A-A167-F9945C893EDB}">
  <dimension ref="A1:C17"/>
  <sheetViews>
    <sheetView topLeftCell="A10" workbookViewId="0">
      <selection activeCell="H21" sqref="H21"/>
    </sheetView>
  </sheetViews>
  <sheetFormatPr defaultRowHeight="13.2" x14ac:dyDescent="0.25"/>
  <cols>
    <col min="3" max="3" width="12.77734375" bestFit="1" customWidth="1"/>
  </cols>
  <sheetData>
    <row r="1" spans="1:3" ht="13.8" x14ac:dyDescent="0.25">
      <c r="A1" s="3" t="s">
        <v>7</v>
      </c>
      <c r="B1" s="3" t="s">
        <v>6</v>
      </c>
      <c r="C1" s="4" t="s">
        <v>5</v>
      </c>
    </row>
    <row r="2" spans="1:3" ht="13.8" x14ac:dyDescent="0.25">
      <c r="A2" s="1">
        <v>1</v>
      </c>
      <c r="B2" s="1" t="s">
        <v>0</v>
      </c>
      <c r="C2" s="2">
        <v>2.4009999999999998</v>
      </c>
    </row>
    <row r="3" spans="1:3" ht="13.8" x14ac:dyDescent="0.25">
      <c r="A3" s="1">
        <v>2</v>
      </c>
      <c r="B3" s="1" t="s">
        <v>0</v>
      </c>
      <c r="C3" s="2">
        <v>3.048</v>
      </c>
    </row>
    <row r="4" spans="1:3" ht="13.8" x14ac:dyDescent="0.25">
      <c r="A4" s="1">
        <v>3</v>
      </c>
      <c r="B4" s="1" t="s">
        <v>0</v>
      </c>
      <c r="C4" s="2">
        <v>3.8839999999999999</v>
      </c>
    </row>
    <row r="5" spans="1:3" ht="13.8" x14ac:dyDescent="0.25">
      <c r="A5" s="1">
        <v>4</v>
      </c>
      <c r="B5" s="1" t="s">
        <v>0</v>
      </c>
      <c r="C5" s="2">
        <v>2.8069999999999999</v>
      </c>
    </row>
    <row r="6" spans="1:3" ht="13.8" x14ac:dyDescent="0.25">
      <c r="A6" s="1">
        <v>5</v>
      </c>
      <c r="B6" s="1" t="s">
        <v>1</v>
      </c>
      <c r="C6" s="2">
        <v>1.7789999999999999</v>
      </c>
    </row>
    <row r="7" spans="1:3" ht="13.8" x14ac:dyDescent="0.25">
      <c r="A7" s="1">
        <v>6</v>
      </c>
      <c r="B7" s="1" t="s">
        <v>0</v>
      </c>
      <c r="C7" s="2">
        <v>2.778</v>
      </c>
    </row>
    <row r="8" spans="1:3" ht="13.8" x14ac:dyDescent="0.25">
      <c r="A8" s="1">
        <v>7</v>
      </c>
      <c r="B8" s="1" t="s">
        <v>2</v>
      </c>
      <c r="C8" s="2">
        <v>1.9E-2</v>
      </c>
    </row>
    <row r="9" spans="1:3" ht="13.8" x14ac:dyDescent="0.25">
      <c r="A9" s="1">
        <v>8</v>
      </c>
      <c r="B9" s="1" t="s">
        <v>0</v>
      </c>
      <c r="C9" s="2">
        <v>7.2999999999999995E-2</v>
      </c>
    </row>
    <row r="10" spans="1:3" ht="13.8" x14ac:dyDescent="0.25">
      <c r="A10" s="1">
        <v>9</v>
      </c>
      <c r="B10" s="1" t="s">
        <v>3</v>
      </c>
      <c r="C10" s="2">
        <v>2.0779999999999998</v>
      </c>
    </row>
    <row r="11" spans="1:3" ht="13.8" x14ac:dyDescent="0.25">
      <c r="A11" s="1">
        <v>10</v>
      </c>
      <c r="B11" s="1" t="s">
        <v>3</v>
      </c>
      <c r="C11" s="2">
        <v>1.7569999999999999</v>
      </c>
    </row>
    <row r="12" spans="1:3" ht="13.8" x14ac:dyDescent="0.25">
      <c r="A12" s="1">
        <v>11</v>
      </c>
      <c r="B12" s="1" t="s">
        <v>3</v>
      </c>
      <c r="C12" s="2">
        <v>3.0169999999999999</v>
      </c>
    </row>
    <row r="13" spans="1:3" ht="13.8" x14ac:dyDescent="0.25">
      <c r="A13" s="1">
        <v>12</v>
      </c>
      <c r="B13" s="1" t="s">
        <v>3</v>
      </c>
      <c r="C13" s="2">
        <v>6.8000000000000005E-2</v>
      </c>
    </row>
    <row r="14" spans="1:3" ht="13.8" x14ac:dyDescent="0.25">
      <c r="A14" s="1">
        <v>13</v>
      </c>
      <c r="B14" s="1" t="s">
        <v>2</v>
      </c>
      <c r="C14" s="2">
        <v>2.5169999999999999</v>
      </c>
    </row>
    <row r="15" spans="1:3" ht="13.8" x14ac:dyDescent="0.25">
      <c r="A15" s="1">
        <v>14</v>
      </c>
      <c r="B15" s="1" t="s">
        <v>2</v>
      </c>
      <c r="C15" s="2">
        <v>3.9060000000000001</v>
      </c>
    </row>
    <row r="16" spans="1:3" ht="14.4" thickBot="1" x14ac:dyDescent="0.3">
      <c r="A16" s="1">
        <v>15</v>
      </c>
      <c r="B16" s="1" t="s">
        <v>2</v>
      </c>
      <c r="C16" s="2">
        <v>3.69</v>
      </c>
    </row>
    <row r="17" spans="1:3" ht="14.4" thickBot="1" x14ac:dyDescent="0.3">
      <c r="A17" s="30" t="s">
        <v>8</v>
      </c>
      <c r="B17" s="31"/>
      <c r="C17" s="5">
        <f>AVERAGE(C2:C16)</f>
        <v>2.2547999999999999</v>
      </c>
    </row>
  </sheetData>
  <mergeCells count="1">
    <mergeCell ref="A17:B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C97DC-B729-46AC-85AA-26AC74915FAC}">
  <dimension ref="A1:C17"/>
  <sheetViews>
    <sheetView tabSelected="1" topLeftCell="A4" workbookViewId="0">
      <selection activeCell="G13" sqref="G13"/>
    </sheetView>
  </sheetViews>
  <sheetFormatPr defaultRowHeight="13.2" x14ac:dyDescent="0.25"/>
  <cols>
    <col min="3" max="3" width="20.77734375" bestFit="1" customWidth="1"/>
  </cols>
  <sheetData>
    <row r="1" spans="1:3" ht="13.8" x14ac:dyDescent="0.25">
      <c r="A1" s="3" t="s">
        <v>7</v>
      </c>
      <c r="B1" s="3" t="s">
        <v>6</v>
      </c>
      <c r="C1" s="4" t="s">
        <v>10</v>
      </c>
    </row>
    <row r="2" spans="1:3" ht="13.8" x14ac:dyDescent="0.25">
      <c r="A2" s="1">
        <v>1</v>
      </c>
      <c r="B2" s="1" t="s">
        <v>0</v>
      </c>
      <c r="C2" s="2">
        <v>2.5999908447265598</v>
      </c>
    </row>
    <row r="3" spans="1:3" ht="13.8" x14ac:dyDescent="0.25">
      <c r="A3" s="1">
        <v>2</v>
      </c>
      <c r="B3" s="1" t="s">
        <v>0</v>
      </c>
      <c r="C3" s="2">
        <v>3.19000244140625</v>
      </c>
    </row>
    <row r="4" spans="1:3" ht="13.8" x14ac:dyDescent="0.25">
      <c r="A4" s="1">
        <v>3</v>
      </c>
      <c r="B4" s="1" t="s">
        <v>0</v>
      </c>
      <c r="C4" s="2">
        <v>3.9099884033203098</v>
      </c>
    </row>
    <row r="5" spans="1:3" ht="13.8" x14ac:dyDescent="0.25">
      <c r="A5" s="1">
        <v>4</v>
      </c>
      <c r="B5" s="1" t="s">
        <v>0</v>
      </c>
      <c r="C5" s="2">
        <v>2.9880003929138201</v>
      </c>
    </row>
    <row r="6" spans="1:3" ht="13.8" x14ac:dyDescent="0.25">
      <c r="A6" s="1">
        <v>5</v>
      </c>
      <c r="B6" s="1" t="s">
        <v>1</v>
      </c>
      <c r="C6" s="2">
        <v>2.1399993896484402</v>
      </c>
    </row>
    <row r="7" spans="1:3" ht="13.8" x14ac:dyDescent="0.25">
      <c r="A7" s="1">
        <v>6</v>
      </c>
      <c r="B7" s="1" t="s">
        <v>0</v>
      </c>
      <c r="C7" s="2">
        <v>2.9266712665557901</v>
      </c>
    </row>
    <row r="8" spans="1:3" ht="13.8" x14ac:dyDescent="0.25">
      <c r="A8" s="1">
        <v>7</v>
      </c>
      <c r="B8" s="1" t="s">
        <v>2</v>
      </c>
      <c r="C8" s="2">
        <v>0.240005493164062</v>
      </c>
    </row>
    <row r="9" spans="1:3" ht="13.8" x14ac:dyDescent="0.25">
      <c r="A9" s="1">
        <v>8</v>
      </c>
      <c r="B9" s="1" t="s">
        <v>0</v>
      </c>
      <c r="C9" s="2">
        <v>1.55999755859375</v>
      </c>
    </row>
    <row r="10" spans="1:3" ht="13.8" x14ac:dyDescent="0.25">
      <c r="A10" s="1">
        <v>9</v>
      </c>
      <c r="B10" s="1" t="s">
        <v>3</v>
      </c>
      <c r="C10" s="2">
        <v>2.239990234375</v>
      </c>
    </row>
    <row r="11" spans="1:3" ht="13.8" x14ac:dyDescent="0.25">
      <c r="A11" s="1">
        <v>10</v>
      </c>
      <c r="B11" s="1" t="s">
        <v>3</v>
      </c>
      <c r="C11" s="2">
        <v>1.9000091552734399</v>
      </c>
    </row>
    <row r="12" spans="1:3" ht="13.8" x14ac:dyDescent="0.25">
      <c r="A12" s="1">
        <v>11</v>
      </c>
      <c r="B12" s="1" t="s">
        <v>3</v>
      </c>
      <c r="C12" s="2">
        <v>3.2400054931640598</v>
      </c>
    </row>
    <row r="13" spans="1:3" ht="13.8" x14ac:dyDescent="0.25">
      <c r="A13" s="1">
        <v>12</v>
      </c>
      <c r="B13" s="1" t="s">
        <v>3</v>
      </c>
      <c r="C13" s="2">
        <v>0.180007934570312</v>
      </c>
    </row>
    <row r="14" spans="1:3" ht="13.8" x14ac:dyDescent="0.25">
      <c r="A14" s="1">
        <v>13</v>
      </c>
      <c r="B14" s="1" t="s">
        <v>2</v>
      </c>
      <c r="C14" s="2">
        <v>2.6879961490631099</v>
      </c>
    </row>
    <row r="15" spans="1:3" ht="13.8" x14ac:dyDescent="0.25">
      <c r="A15" s="1">
        <v>14</v>
      </c>
      <c r="B15" s="1" t="s">
        <v>2</v>
      </c>
      <c r="C15" s="2">
        <v>4.0500030517578098</v>
      </c>
    </row>
    <row r="16" spans="1:3" ht="14.4" thickBot="1" x14ac:dyDescent="0.3">
      <c r="A16" s="1">
        <v>15</v>
      </c>
      <c r="B16" s="1" t="s">
        <v>2</v>
      </c>
      <c r="C16" s="2">
        <v>4.0699920654296902</v>
      </c>
    </row>
    <row r="17" spans="1:3" ht="14.4" thickBot="1" x14ac:dyDescent="0.3">
      <c r="A17" s="30" t="s">
        <v>8</v>
      </c>
      <c r="B17" s="31"/>
      <c r="C17" s="5">
        <f>AVERAGE(C2:C16)</f>
        <v>2.528177324930827</v>
      </c>
    </row>
  </sheetData>
  <mergeCells count="1">
    <mergeCell ref="A17:B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opLeftCell="A4" zoomScaleNormal="100" workbookViewId="0">
      <selection activeCell="C19" sqref="C19"/>
    </sheetView>
  </sheetViews>
  <sheetFormatPr defaultRowHeight="13.2" x14ac:dyDescent="0.25"/>
  <cols>
    <col min="1" max="2" width="15"/>
    <col min="3" max="3" width="16.109375" bestFit="1" customWidth="1"/>
    <col min="4" max="4" width="15.88671875" bestFit="1" customWidth="1"/>
    <col min="5" max="5" width="23.88671875" bestFit="1" customWidth="1"/>
    <col min="6" max="6" width="10.5546875" customWidth="1"/>
    <col min="7" max="7" width="24.6640625" bestFit="1" customWidth="1"/>
    <col min="8" max="8" width="15" customWidth="1"/>
    <col min="9" max="9" width="15.33203125" bestFit="1" customWidth="1"/>
    <col min="10" max="1011" width="15"/>
  </cols>
  <sheetData>
    <row r="1" spans="1:10" ht="13.8" x14ac:dyDescent="0.25">
      <c r="A1" s="12" t="s">
        <v>7</v>
      </c>
      <c r="B1" s="13" t="s">
        <v>6</v>
      </c>
      <c r="C1" s="14" t="s">
        <v>15</v>
      </c>
      <c r="D1" s="14" t="s">
        <v>14</v>
      </c>
      <c r="E1" s="14" t="s">
        <v>13</v>
      </c>
      <c r="F1" s="14" t="s">
        <v>12</v>
      </c>
      <c r="G1" s="15" t="s">
        <v>11</v>
      </c>
    </row>
    <row r="2" spans="1:10" ht="13.8" x14ac:dyDescent="0.25">
      <c r="A2" s="16">
        <v>1</v>
      </c>
      <c r="B2" s="17" t="s">
        <v>0</v>
      </c>
      <c r="C2" s="18">
        <v>1.3199889487034979</v>
      </c>
      <c r="D2" s="18">
        <v>2.4009999999999998</v>
      </c>
      <c r="E2" s="18">
        <v>2.5999908447265598</v>
      </c>
      <c r="F2" s="18">
        <v>2.9</v>
      </c>
      <c r="G2" s="9" t="str">
        <f>IF(AND(C2&gt;=$J$2, D2&gt;=$J$2, E2&gt;=$J$2), "DA", "NU")</f>
        <v>DA</v>
      </c>
      <c r="I2" s="19" t="s">
        <v>16</v>
      </c>
      <c r="J2" s="20">
        <v>0.3</v>
      </c>
    </row>
    <row r="3" spans="1:10" ht="13.8" x14ac:dyDescent="0.25">
      <c r="A3" s="8">
        <v>2</v>
      </c>
      <c r="B3" s="1" t="s">
        <v>0</v>
      </c>
      <c r="C3" s="2">
        <v>1.7647843696701691</v>
      </c>
      <c r="D3" s="2">
        <v>3.048</v>
      </c>
      <c r="E3" s="2">
        <v>3.19000244140625</v>
      </c>
      <c r="F3" s="2">
        <v>3.25</v>
      </c>
      <c r="G3" s="9" t="str">
        <f t="shared" ref="G3:G15" si="0">IF(AND(C3&gt;=$J$2, D3&gt;=$J$2, E3&gt;=$J$2), "DA", "NU")</f>
        <v>DA</v>
      </c>
      <c r="I3" s="32" t="s">
        <v>17</v>
      </c>
      <c r="J3" s="32"/>
    </row>
    <row r="4" spans="1:10" ht="13.8" x14ac:dyDescent="0.25">
      <c r="A4" s="8">
        <v>3</v>
      </c>
      <c r="B4" s="1" t="s">
        <v>0</v>
      </c>
      <c r="C4" s="2">
        <v>2.3798769303239879</v>
      </c>
      <c r="D4" s="2">
        <v>3.8839999999999999</v>
      </c>
      <c r="E4" s="2">
        <v>3.9099884033203098</v>
      </c>
      <c r="F4" s="2">
        <v>3.6</v>
      </c>
      <c r="G4" s="9" t="str">
        <f t="shared" si="0"/>
        <v>DA</v>
      </c>
    </row>
    <row r="5" spans="1:10" ht="13.8" x14ac:dyDescent="0.25">
      <c r="A5" s="8">
        <v>4</v>
      </c>
      <c r="B5" s="1" t="s">
        <v>0</v>
      </c>
      <c r="C5" s="2">
        <v>1.9129921887569501</v>
      </c>
      <c r="D5" s="2">
        <v>2.8069999999999999</v>
      </c>
      <c r="E5" s="2">
        <v>2.9880003929138201</v>
      </c>
      <c r="F5" s="2">
        <v>3.2</v>
      </c>
      <c r="G5" s="9" t="str">
        <f t="shared" si="0"/>
        <v>DA</v>
      </c>
    </row>
    <row r="6" spans="1:10" ht="13.8" x14ac:dyDescent="0.25">
      <c r="A6" s="8">
        <v>5</v>
      </c>
      <c r="B6" s="1" t="s">
        <v>1</v>
      </c>
      <c r="C6" s="2">
        <v>4.404378313587249E-2</v>
      </c>
      <c r="D6" s="2">
        <v>1.7789999999999999</v>
      </c>
      <c r="E6" s="2">
        <v>2.1399993896484402</v>
      </c>
      <c r="F6" s="2">
        <v>3.05</v>
      </c>
      <c r="G6" s="9" t="str">
        <f t="shared" si="0"/>
        <v>NU</v>
      </c>
    </row>
    <row r="7" spans="1:10" ht="13.8" x14ac:dyDescent="0.25">
      <c r="A7" s="8">
        <v>6</v>
      </c>
      <c r="B7" s="1" t="s">
        <v>0</v>
      </c>
      <c r="C7" s="2">
        <v>2.0128399198017419</v>
      </c>
      <c r="D7" s="2">
        <v>2.778</v>
      </c>
      <c r="E7" s="2">
        <v>2.9266712665557901</v>
      </c>
      <c r="F7" s="2">
        <v>3.3</v>
      </c>
      <c r="G7" s="9" t="str">
        <f t="shared" si="0"/>
        <v>DA</v>
      </c>
    </row>
    <row r="8" spans="1:10" ht="13.8" x14ac:dyDescent="0.25">
      <c r="A8" s="8">
        <v>7</v>
      </c>
      <c r="B8" s="1" t="s">
        <v>2</v>
      </c>
      <c r="C8" s="2">
        <v>1.333224149046513E-2</v>
      </c>
      <c r="D8" s="2">
        <v>1.9E-2</v>
      </c>
      <c r="E8" s="2">
        <v>0.240005493164062</v>
      </c>
      <c r="F8" s="2">
        <v>3.4</v>
      </c>
      <c r="G8" s="9" t="str">
        <f t="shared" si="0"/>
        <v>NU</v>
      </c>
    </row>
    <row r="9" spans="1:10" ht="13.8" x14ac:dyDescent="0.25">
      <c r="A9" s="8">
        <v>8</v>
      </c>
      <c r="B9" s="1" t="s">
        <v>0</v>
      </c>
      <c r="C9" s="2">
        <v>1.7924499511718751E-2</v>
      </c>
      <c r="D9" s="2">
        <v>7.2999999999999995E-2</v>
      </c>
      <c r="E9" s="2">
        <v>1.55999755859375</v>
      </c>
      <c r="F9" s="2">
        <v>2</v>
      </c>
      <c r="G9" s="9" t="str">
        <f t="shared" si="0"/>
        <v>NU</v>
      </c>
    </row>
    <row r="10" spans="1:10" ht="13.8" x14ac:dyDescent="0.25">
      <c r="A10" s="8">
        <v>9</v>
      </c>
      <c r="B10" s="1" t="s">
        <v>3</v>
      </c>
      <c r="C10" s="2">
        <v>1.429886496528078</v>
      </c>
      <c r="D10" s="2">
        <v>2.0779999999999998</v>
      </c>
      <c r="E10" s="2">
        <v>2.239990234375</v>
      </c>
      <c r="F10" s="2">
        <v>2.5</v>
      </c>
      <c r="G10" s="9" t="str">
        <f t="shared" si="0"/>
        <v>DA</v>
      </c>
    </row>
    <row r="11" spans="1:10" ht="13.8" x14ac:dyDescent="0.25">
      <c r="A11" s="8">
        <v>10</v>
      </c>
      <c r="B11" s="1" t="s">
        <v>3</v>
      </c>
      <c r="C11" s="2">
        <v>0.62952361626647657</v>
      </c>
      <c r="D11" s="2">
        <v>1.7569999999999999</v>
      </c>
      <c r="E11" s="2">
        <v>1.9000091552734399</v>
      </c>
      <c r="F11" s="2">
        <v>2.2999999999999998</v>
      </c>
      <c r="G11" s="9" t="str">
        <f t="shared" si="0"/>
        <v>DA</v>
      </c>
    </row>
    <row r="12" spans="1:10" ht="13.8" x14ac:dyDescent="0.25">
      <c r="A12" s="8">
        <v>11</v>
      </c>
      <c r="B12" s="1" t="s">
        <v>3</v>
      </c>
      <c r="C12" s="2">
        <v>1.422478323855235</v>
      </c>
      <c r="D12" s="2">
        <v>3.0169999999999999</v>
      </c>
      <c r="E12" s="2">
        <v>3.2400054931640598</v>
      </c>
      <c r="F12" s="2">
        <v>3.1</v>
      </c>
      <c r="G12" s="9" t="str">
        <f t="shared" si="0"/>
        <v>DA</v>
      </c>
    </row>
    <row r="13" spans="1:10" ht="13.8" x14ac:dyDescent="0.25">
      <c r="A13" s="8">
        <v>12</v>
      </c>
      <c r="B13" s="1" t="s">
        <v>3</v>
      </c>
      <c r="C13" s="2">
        <v>5.8483591557372634E-3</v>
      </c>
      <c r="D13" s="2">
        <v>6.8000000000000005E-2</v>
      </c>
      <c r="E13" s="2">
        <v>0.180007934570312</v>
      </c>
      <c r="F13" s="2">
        <v>2.1</v>
      </c>
      <c r="G13" s="9" t="str">
        <f t="shared" si="0"/>
        <v>NU</v>
      </c>
    </row>
    <row r="14" spans="1:10" ht="13.8" x14ac:dyDescent="0.25">
      <c r="A14" s="8">
        <v>13</v>
      </c>
      <c r="B14" s="1" t="s">
        <v>2</v>
      </c>
      <c r="C14" s="2">
        <v>0.88832191476555378</v>
      </c>
      <c r="D14" s="2">
        <v>2.5169999999999999</v>
      </c>
      <c r="E14" s="2">
        <v>2.6879961490631099</v>
      </c>
      <c r="F14" s="2">
        <v>3.65</v>
      </c>
      <c r="G14" s="9" t="str">
        <f t="shared" si="0"/>
        <v>DA</v>
      </c>
    </row>
    <row r="15" spans="1:10" ht="13.8" x14ac:dyDescent="0.25">
      <c r="A15" s="8">
        <v>14</v>
      </c>
      <c r="B15" s="1" t="s">
        <v>2</v>
      </c>
      <c r="C15" s="2">
        <v>1.8074967544690701</v>
      </c>
      <c r="D15" s="2">
        <v>3.9060000000000001</v>
      </c>
      <c r="E15" s="2">
        <v>4.0500030517578098</v>
      </c>
      <c r="F15" s="2">
        <v>4.2</v>
      </c>
      <c r="G15" s="9" t="str">
        <f t="shared" si="0"/>
        <v>DA</v>
      </c>
    </row>
    <row r="16" spans="1:10" ht="13.8" x14ac:dyDescent="0.25">
      <c r="A16" s="10">
        <v>15</v>
      </c>
      <c r="B16" s="6" t="s">
        <v>2</v>
      </c>
      <c r="C16" s="7">
        <v>1.6760144748297059</v>
      </c>
      <c r="D16" s="7">
        <v>3.69</v>
      </c>
      <c r="E16" s="7">
        <v>4.0699920654296902</v>
      </c>
      <c r="F16" s="7">
        <v>4.5</v>
      </c>
      <c r="G16" s="11" t="str">
        <f>IF(AND(C16&gt;=$J$2, D16&gt;=$J$2, E16&gt;=$J$2), "DA", "NU")</f>
        <v>DA</v>
      </c>
    </row>
    <row r="22" spans="9:9" x14ac:dyDescent="0.25">
      <c r="I22" t="s">
        <v>9</v>
      </c>
    </row>
  </sheetData>
  <mergeCells count="1">
    <mergeCell ref="I3:J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BE57B-1B1C-4FF4-A09D-DE3148FF516C}">
  <dimension ref="A1:E13"/>
  <sheetViews>
    <sheetView workbookViewId="0">
      <selection activeCell="J25" sqref="J25"/>
    </sheetView>
  </sheetViews>
  <sheetFormatPr defaultRowHeight="13.2" x14ac:dyDescent="0.25"/>
  <cols>
    <col min="1" max="1" width="13.21875" bestFit="1" customWidth="1"/>
    <col min="2" max="2" width="13.21875" customWidth="1"/>
    <col min="3" max="3" width="10.6640625" customWidth="1"/>
    <col min="4" max="4" width="13.44140625" bestFit="1" customWidth="1"/>
    <col min="5" max="5" width="12" bestFit="1" customWidth="1"/>
  </cols>
  <sheetData>
    <row r="1" spans="1:5" ht="15.6" x14ac:dyDescent="0.3">
      <c r="A1" s="28" t="s">
        <v>18</v>
      </c>
      <c r="B1" s="28"/>
      <c r="C1" s="28"/>
      <c r="D1" s="28"/>
    </row>
    <row r="2" spans="1:5" ht="13.8" x14ac:dyDescent="0.25">
      <c r="A2" s="21" t="s">
        <v>19</v>
      </c>
      <c r="B2" s="21" t="s">
        <v>20</v>
      </c>
      <c r="C2" s="21" t="s">
        <v>21</v>
      </c>
      <c r="D2" s="21" t="s">
        <v>22</v>
      </c>
    </row>
    <row r="3" spans="1:5" ht="13.8" x14ac:dyDescent="0.25">
      <c r="A3" s="16" t="s">
        <v>23</v>
      </c>
      <c r="B3" s="17">
        <f>COUNTIF(comparatie_metode!C2:C16,"&gt;="&amp;comparatie_metode!$J$2)</f>
        <v>11</v>
      </c>
      <c r="C3" s="17">
        <v>15</v>
      </c>
      <c r="D3" s="22">
        <f>B3/C3</f>
        <v>0.73333333333333328</v>
      </c>
    </row>
    <row r="4" spans="1:5" ht="13.8" x14ac:dyDescent="0.25">
      <c r="A4" s="8" t="s">
        <v>24</v>
      </c>
      <c r="B4" s="1">
        <f>COUNTIF(comparatie_metode!D2:D16,"&gt;="&amp;comparatie_metode!$J$2)</f>
        <v>12</v>
      </c>
      <c r="C4" s="1">
        <v>15</v>
      </c>
      <c r="D4" s="23">
        <f t="shared" ref="D4:D5" si="0">B4/C4</f>
        <v>0.8</v>
      </c>
    </row>
    <row r="5" spans="1:5" ht="13.8" x14ac:dyDescent="0.25">
      <c r="A5" s="10" t="s">
        <v>25</v>
      </c>
      <c r="B5" s="6">
        <f>COUNTIF(comparatie_metode!E2:E16,"&gt;="&amp;comparatie_metode!$J$2)</f>
        <v>13</v>
      </c>
      <c r="C5" s="6">
        <v>15</v>
      </c>
      <c r="D5" s="24">
        <f t="shared" si="0"/>
        <v>0.8666666666666667</v>
      </c>
    </row>
    <row r="6" spans="1:5" ht="13.8" x14ac:dyDescent="0.25">
      <c r="C6" s="1"/>
    </row>
    <row r="9" spans="1:5" ht="15.6" x14ac:dyDescent="0.3">
      <c r="A9" s="29" t="s">
        <v>26</v>
      </c>
      <c r="B9" s="29"/>
      <c r="C9" s="29"/>
      <c r="D9" s="29"/>
      <c r="E9" s="29"/>
    </row>
    <row r="10" spans="1:5" ht="13.8" x14ac:dyDescent="0.25">
      <c r="A10" s="27" t="s">
        <v>19</v>
      </c>
      <c r="B10" s="27" t="s">
        <v>27</v>
      </c>
      <c r="C10" s="27" t="s">
        <v>28</v>
      </c>
      <c r="D10" s="27" t="s">
        <v>29</v>
      </c>
      <c r="E10" s="27" t="s">
        <v>30</v>
      </c>
    </row>
    <row r="11" spans="1:5" ht="13.8" x14ac:dyDescent="0.25">
      <c r="A11" s="1" t="s">
        <v>23</v>
      </c>
      <c r="B11" s="2" cm="1">
        <f t="array" ref="B11">SQRT(SUMPRODUCT((comparatie_metode!$G$2:$G$16="DA")*(comparatie_metode!C2:C16-comparatie_metode!$F$2:$F$16)^2)/COUNTIF(comparatie_metode!$G$2:$G$16,"DA"))</f>
        <v>1.8483337946224787</v>
      </c>
      <c r="C11" s="2" cm="1">
        <f t="array" ref="C11">SUMPRODUCT((comparatie_metode!$G$2:$G$16="DA")*ABS(comparatie_metode!C2:C16-comparatie_metode!$F$2:$F$16))/COUNTIF(comparatie_metode!$G$2:$G$16,"DA")</f>
        <v>1.7505269147299574</v>
      </c>
      <c r="D11" s="2" cm="1">
        <f t="array" ref="D11">SUMPRODUCT((comparatie_metode!$G$2:$G$16="DA")*(comparatie_metode!C2:C16-comparatie_metode!$F$2:$F$16))/COUNTIF(comparatie_metode!$G$2:$G$16,"DA")</f>
        <v>-1.7505269147299574</v>
      </c>
      <c r="E11" s="25" t="str">
        <f>IF(D11&lt;0,"subestimeaza","supraestimeaza")</f>
        <v>subestimeaza</v>
      </c>
    </row>
    <row r="12" spans="1:5" ht="13.8" x14ac:dyDescent="0.25">
      <c r="A12" s="1" t="s">
        <v>24</v>
      </c>
      <c r="B12" s="2" cm="1">
        <f t="array" ref="B12">SQRT(SUMPRODUCT((comparatie_metode!$G$2:$G$16="DA")*(comparatie_metode!D2:D16-comparatie_metode!$F$2:$F$16)^2)/COUNTIF(comparatie_metode!$G$2:$G$16,"DA"))</f>
        <v>0.54800804572726691</v>
      </c>
      <c r="C12" s="2" cm="1">
        <f t="array" ref="C12">SUMPRODUCT((comparatie_metode!$G$2:$G$16="DA")*ABS(comparatie_metode!D2:D16-comparatie_metode!$F$2:$F$16))/COUNTIF(comparatie_metode!$G$2:$G$16,"DA")</f>
        <v>0.47136363636363643</v>
      </c>
      <c r="D12" s="2" cm="1">
        <f t="array" ref="D12">SUMPRODUCT((comparatie_metode!$G$2:$G$16="DA")*(comparatie_metode!D2:D16-comparatie_metode!$F$2:$F$16))/COUNTIF(comparatie_metode!$G$2:$G$16,"DA")</f>
        <v>-0.41972727272727278</v>
      </c>
      <c r="E12" s="25" t="str">
        <f t="shared" ref="E12:E13" si="1">IF(D12&lt;0,"subestimeaza","supraestimeaza")</f>
        <v>subestimeaza</v>
      </c>
    </row>
    <row r="13" spans="1:5" ht="13.8" x14ac:dyDescent="0.25">
      <c r="A13" s="6" t="s">
        <v>25</v>
      </c>
      <c r="B13" s="7" cm="1">
        <f t="array" ref="B13">SQRT(SUMPRODUCT((comparatie_metode!$G$2:$G$16="DA")*(comparatie_metode!E2:E16-comparatie_metode!$F$2:$F$16)^2)/COUNTIF(comparatie_metode!$G$2:$G$16,"DA"))</f>
        <v>0.39932588614407605</v>
      </c>
      <c r="C13" s="7" cm="1">
        <f t="array" ref="C13">SUMPRODUCT((comparatie_metode!$G$2:$G$16="DA")*ABS(comparatie_metode!E2:E16-comparatie_metode!$F$2:$F$16))/COUNTIF(comparatie_metode!$G$2:$G$16,"DA")</f>
        <v>0.32703075408935445</v>
      </c>
      <c r="D13" s="7" cm="1">
        <f t="array" ref="D13">SUMPRODUCT((comparatie_metode!$G$2:$G$16="DA")*(comparatie_metode!E2:E16-comparatie_metode!$F$2:$F$16))/COUNTIF(comparatie_metode!$G$2:$G$16,"DA")</f>
        <v>-0.24521368200128729</v>
      </c>
      <c r="E13" s="26" t="str">
        <f t="shared" si="1"/>
        <v>subestimeaza</v>
      </c>
    </row>
  </sheetData>
  <mergeCells count="2">
    <mergeCell ref="A1:D1"/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inaltime_met_1</vt:lpstr>
      <vt:lpstr>inaltime_met_2</vt:lpstr>
      <vt:lpstr>inaltime_met_3</vt:lpstr>
      <vt:lpstr>comparatie_metode</vt:lpstr>
      <vt:lpstr>Analiza_validare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Daria-Ioana SICARU (142713)</cp:lastModifiedBy>
  <cp:revision>0</cp:revision>
  <cp:lastPrinted>2026-08-14T16:11:41Z</cp:lastPrinted>
  <dcterms:modified xsi:type="dcterms:W3CDTF">2026-08-19T11:19:03Z</dcterms:modified>
</cp:coreProperties>
</file>