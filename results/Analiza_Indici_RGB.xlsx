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GIS\Proiect_vara\Q_GIS\"/>
    </mc:Choice>
  </mc:AlternateContent>
  <xr:revisionPtr revIDLastSave="0" documentId="13_ncr:10000001_{F883D602-CE50-4A09-968C-20F184E242C2}" xr6:coauthVersionLast="47" xr6:coauthVersionMax="47" xr10:uidLastSave="{00000000-0000-0000-0000-000000000000}"/>
  <bookViews>
    <workbookView xWindow="-108" yWindow="-108" windowWidth="23256" windowHeight="12456" activeTab="2" xr2:uid="{3D9B7D6F-0466-43FE-AC8A-B4A92AF2A257}"/>
  </bookViews>
  <sheets>
    <sheet name="Analiza GLI" sheetId="1" r:id="rId1"/>
    <sheet name="Analiza VARI" sheetId="2" r:id="rId2"/>
    <sheet name="Comparatie GLI-VARI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" l="1"/>
  <c r="K19" i="3"/>
  <c r="E24" i="2"/>
  <c r="D24" i="2"/>
  <c r="C24" i="2"/>
  <c r="E23" i="2"/>
  <c r="D23" i="2"/>
  <c r="C23" i="2"/>
  <c r="E22" i="2"/>
  <c r="D22" i="2"/>
  <c r="C22" i="2"/>
  <c r="E21" i="2"/>
  <c r="D21" i="2"/>
  <c r="C21" i="2"/>
  <c r="E24" i="1"/>
  <c r="D24" i="1"/>
  <c r="C24" i="1"/>
  <c r="E23" i="1"/>
  <c r="D23" i="1"/>
  <c r="C23" i="1"/>
  <c r="E22" i="1"/>
  <c r="D22" i="1"/>
  <c r="C22" i="1"/>
  <c r="E21" i="1"/>
  <c r="D21" i="1"/>
  <c r="C21" i="1"/>
</calcChain>
</file>

<file path=xl/sharedStrings.xml><?xml version="1.0" encoding="utf-8"?>
<sst xmlns="http://schemas.openxmlformats.org/spreadsheetml/2006/main" count="79" uniqueCount="19">
  <si>
    <t>GLI_Mean</t>
  </si>
  <si>
    <t>Canopy_Area</t>
  </si>
  <si>
    <t>ID</t>
  </si>
  <si>
    <t>Specie</t>
  </si>
  <si>
    <t>Mar</t>
  </si>
  <si>
    <t>Gutui</t>
  </si>
  <si>
    <t>Prun</t>
  </si>
  <si>
    <t>Par</t>
  </si>
  <si>
    <t>Înălțime_DSM</t>
  </si>
  <si>
    <t>Număr pomi</t>
  </si>
  <si>
    <t>GLI mediu</t>
  </si>
  <si>
    <t>GLI minim</t>
  </si>
  <si>
    <t>GLI maxim</t>
  </si>
  <si>
    <t>VARI_Mean</t>
  </si>
  <si>
    <t>VARI mediu</t>
  </si>
  <si>
    <t>VARI minim</t>
  </si>
  <si>
    <t>VARI maxim</t>
  </si>
  <si>
    <t>r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</si>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</sst>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1" fillId="3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Relația dintre înălțimea pomilor și GLI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5717294669426"/>
          <c:y val="0.12541666666666668"/>
          <c:w val="0.81602090757317858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'Analiza GLI'!$C$1:$D$1</c:f>
              <c:strCache>
                <c:ptCount val="1"/>
                <c:pt idx="0">
                  <c:v>Înălțime_DSM GLI_Mean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31772408697746"/>
                  <c:y val="0.415076234788833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'Analiza GLI'!$C$2:$C$16</c:f>
              <c:numCache>
                <c:formatCode>0.00</c:formatCode>
                <c:ptCount val="15"/>
                <c:pt idx="0">
                  <c:v>2.4009999999999998</c:v>
                </c:pt>
                <c:pt idx="1">
                  <c:v>3.048</c:v>
                </c:pt>
                <c:pt idx="2">
                  <c:v>3.8839999999999999</c:v>
                </c:pt>
                <c:pt idx="3">
                  <c:v>2.8069999999999999</c:v>
                </c:pt>
                <c:pt idx="4">
                  <c:v>1.7789999999999999</c:v>
                </c:pt>
                <c:pt idx="5">
                  <c:v>2.778</c:v>
                </c:pt>
                <c:pt idx="6">
                  <c:v>1.9E-2</c:v>
                </c:pt>
                <c:pt idx="7">
                  <c:v>7.2999999999999995E-2</c:v>
                </c:pt>
                <c:pt idx="8">
                  <c:v>2.0779999999999998</c:v>
                </c:pt>
                <c:pt idx="9">
                  <c:v>1.7569999999999999</c:v>
                </c:pt>
                <c:pt idx="10">
                  <c:v>3.0169999999999999</c:v>
                </c:pt>
                <c:pt idx="11">
                  <c:v>6.8000000000000005E-2</c:v>
                </c:pt>
                <c:pt idx="12">
                  <c:v>2.5169999999999999</c:v>
                </c:pt>
                <c:pt idx="13">
                  <c:v>3.9060000000000001</c:v>
                </c:pt>
                <c:pt idx="14">
                  <c:v>3.69</c:v>
                </c:pt>
              </c:numCache>
            </c:numRef>
          </c:xVal>
          <c:yVal>
            <c:numRef>
              <c:f>'Analiza GLI'!$D$2:$D$16</c:f>
              <c:numCache>
                <c:formatCode>0.00</c:formatCode>
                <c:ptCount val="15"/>
                <c:pt idx="0">
                  <c:v>0.208713181208422</c:v>
                </c:pt>
                <c:pt idx="1">
                  <c:v>0.21697731437984899</c:v>
                </c:pt>
                <c:pt idx="2">
                  <c:v>0.25933108663846799</c:v>
                </c:pt>
                <c:pt idx="3">
                  <c:v>0.242850730915077</c:v>
                </c:pt>
                <c:pt idx="4">
                  <c:v>0.121735199349221</c:v>
                </c:pt>
                <c:pt idx="5">
                  <c:v>0.232027457536052</c:v>
                </c:pt>
                <c:pt idx="6">
                  <c:v>0.240038511972754</c:v>
                </c:pt>
                <c:pt idx="7">
                  <c:v>0.18534504515196101</c:v>
                </c:pt>
                <c:pt idx="8">
                  <c:v>0.25967610058271201</c:v>
                </c:pt>
                <c:pt idx="9">
                  <c:v>0.23696711238055801</c:v>
                </c:pt>
                <c:pt idx="10">
                  <c:v>0.25029561192625099</c:v>
                </c:pt>
                <c:pt idx="11">
                  <c:v>0.21669784396335401</c:v>
                </c:pt>
                <c:pt idx="12">
                  <c:v>0.23981343597257401</c:v>
                </c:pt>
                <c:pt idx="13">
                  <c:v>0.23195052417645901</c:v>
                </c:pt>
                <c:pt idx="14">
                  <c:v>0.27318949209514198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3-4B29-A0CC-C9E2E106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641376"/>
        <c:axId val="1424208176"/>
      </c:scatterChart>
      <c:valAx>
        <c:axId val="14196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08176"/>
        <c:crosses val="autoZero"/>
        <c:crossBetween val="midCat"/>
      </c:valAx>
      <c:valAx>
        <c:axId val="14242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Înălțime DSM</a:t>
                </a:r>
                <a:r>
                  <a:rPr lang="ro-RO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6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Relația dintre aria coronamentului și GLI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112270341207351"/>
                  <c:y val="-0.260222977809591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'Analiza GLI'!$D$2:$D$16</c:f>
              <c:numCache>
                <c:formatCode>0.00</c:formatCode>
                <c:ptCount val="15"/>
                <c:pt idx="0">
                  <c:v>0.208713181208422</c:v>
                </c:pt>
                <c:pt idx="1">
                  <c:v>0.21697731437984899</c:v>
                </c:pt>
                <c:pt idx="2">
                  <c:v>0.25933108663846799</c:v>
                </c:pt>
                <c:pt idx="3">
                  <c:v>0.242850730915077</c:v>
                </c:pt>
                <c:pt idx="4">
                  <c:v>0.121735199349221</c:v>
                </c:pt>
                <c:pt idx="5">
                  <c:v>0.232027457536052</c:v>
                </c:pt>
                <c:pt idx="6">
                  <c:v>0.240038511972754</c:v>
                </c:pt>
                <c:pt idx="7">
                  <c:v>0.18534504515196101</c:v>
                </c:pt>
                <c:pt idx="8">
                  <c:v>0.25967610058271201</c:v>
                </c:pt>
                <c:pt idx="9">
                  <c:v>0.23696711238055801</c:v>
                </c:pt>
                <c:pt idx="10">
                  <c:v>0.25029561192625099</c:v>
                </c:pt>
                <c:pt idx="11">
                  <c:v>0.21669784396335401</c:v>
                </c:pt>
                <c:pt idx="12">
                  <c:v>0.23981343597257401</c:v>
                </c:pt>
                <c:pt idx="13">
                  <c:v>0.23195052417645901</c:v>
                </c:pt>
                <c:pt idx="14">
                  <c:v>0.27318949209514198</c:v>
                </c:pt>
              </c:numCache>
            </c:numRef>
          </c:xVal>
          <c:yVal>
            <c:numRef>
              <c:f>'Analiza GLI'!$E$2:$E$16</c:f>
              <c:numCache>
                <c:formatCode>0.00</c:formatCode>
                <c:ptCount val="15"/>
                <c:pt idx="0">
                  <c:v>4.3620378178457004</c:v>
                </c:pt>
                <c:pt idx="1">
                  <c:v>4.2643267723033196</c:v>
                </c:pt>
                <c:pt idx="2">
                  <c:v>5.0343474248038502</c:v>
                </c:pt>
                <c:pt idx="3">
                  <c:v>10.4447232896364</c:v>
                </c:pt>
                <c:pt idx="4">
                  <c:v>1.7391331252292701</c:v>
                </c:pt>
                <c:pt idx="5">
                  <c:v>3.14574059341976</c:v>
                </c:pt>
                <c:pt idx="6">
                  <c:v>2.0828144077386201</c:v>
                </c:pt>
                <c:pt idx="7">
                  <c:v>0.44994763308204699</c:v>
                </c:pt>
                <c:pt idx="8">
                  <c:v>1.8152419609978101</c:v>
                </c:pt>
                <c:pt idx="9">
                  <c:v>1.5889490588742801</c:v>
                </c:pt>
                <c:pt idx="10">
                  <c:v>0.785949155277194</c:v>
                </c:pt>
                <c:pt idx="11">
                  <c:v>1.4473799275146999</c:v>
                </c:pt>
                <c:pt idx="12">
                  <c:v>4.1137237293769404</c:v>
                </c:pt>
                <c:pt idx="13">
                  <c:v>6.787715192826</c:v>
                </c:pt>
                <c:pt idx="14">
                  <c:v>8.1927939781453496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A5-41FE-ADAD-801F1D3F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553136"/>
        <c:axId val="1424123216"/>
      </c:scatterChart>
      <c:valAx>
        <c:axId val="16755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23216"/>
        <c:crosses val="autoZero"/>
        <c:crossBetween val="midCat"/>
      </c:valAx>
      <c:valAx>
        <c:axId val="14241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Arie coronament (m^2)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5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Relația dintre specia pomilor și GLI mediu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 GLI'!$A$21:$A$24</c:f>
              <c:strCache>
                <c:ptCount val="4"/>
                <c:pt idx="0">
                  <c:v>Mar</c:v>
                </c:pt>
                <c:pt idx="1">
                  <c:v>Gutui</c:v>
                </c:pt>
                <c:pt idx="2">
                  <c:v>Prun</c:v>
                </c:pt>
                <c:pt idx="3">
                  <c:v>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'Analiza GLI'!$A$21:$A$24</c:f>
              <c:strCache>
                <c:ptCount val="4"/>
                <c:pt idx="0">
                  <c:v>Mar</c:v>
                </c:pt>
                <c:pt idx="1">
                  <c:v>Gutui</c:v>
                </c:pt>
                <c:pt idx="2">
                  <c:v>Prun</c:v>
                </c:pt>
                <c:pt idx="3">
                  <c:v>Par</c:v>
                </c:pt>
              </c:strCache>
            </c:strRef>
          </c:cat>
          <c:val>
            <c:numRef>
              <c:f>'Analiza GLI'!$C$21:$C$24</c:f>
              <c:numCache>
                <c:formatCode>0.00</c:formatCode>
                <c:ptCount val="4"/>
                <c:pt idx="0">
                  <c:v>0.22420746930497149</c:v>
                </c:pt>
                <c:pt idx="1">
                  <c:v>0.121735199349221</c:v>
                </c:pt>
                <c:pt idx="2">
                  <c:v>0.24624799105423226</c:v>
                </c:pt>
                <c:pt idx="3">
                  <c:v>0.24090916721321876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5-4999-AE15-41A90CDE1A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8503712"/>
        <c:axId val="1424186096"/>
      </c:barChart>
      <c:catAx>
        <c:axId val="15885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86096"/>
        <c:crosses val="autoZero"/>
        <c:auto val="1"/>
        <c:lblAlgn val="ctr"/>
        <c:lblOffset val="100"/>
        <c:noMultiLvlLbl val="0"/>
      </c:catAx>
      <c:valAx>
        <c:axId val="14241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Relația dintre înălțimea pomilor și VARI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26614426819835"/>
                  <c:y val="0.410471265718650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'Analiza VARI'!$D$2:$D$16</c:f>
              <c:numCache>
                <c:formatCode>0.00</c:formatCode>
                <c:ptCount val="15"/>
                <c:pt idx="0">
                  <c:v>0.24385761447819901</c:v>
                </c:pt>
                <c:pt idx="1">
                  <c:v>0.25609681268136297</c:v>
                </c:pt>
                <c:pt idx="2">
                  <c:v>0.33412633777789902</c:v>
                </c:pt>
                <c:pt idx="3">
                  <c:v>0.30195678475266502</c:v>
                </c:pt>
                <c:pt idx="4">
                  <c:v>0.11348433604121901</c:v>
                </c:pt>
                <c:pt idx="5">
                  <c:v>0.29278059259116201</c:v>
                </c:pt>
                <c:pt idx="6">
                  <c:v>0.211433394661175</c:v>
                </c:pt>
                <c:pt idx="7">
                  <c:v>0.20291322384081401</c:v>
                </c:pt>
                <c:pt idx="8">
                  <c:v>0.26376423640022301</c:v>
                </c:pt>
                <c:pt idx="9">
                  <c:v>0.181882368807503</c:v>
                </c:pt>
                <c:pt idx="10">
                  <c:v>0.26872450036322798</c:v>
                </c:pt>
                <c:pt idx="11">
                  <c:v>9.7171278245785697E-2</c:v>
                </c:pt>
                <c:pt idx="12">
                  <c:v>0.28983255507897498</c:v>
                </c:pt>
                <c:pt idx="13">
                  <c:v>0.22964312018212599</c:v>
                </c:pt>
                <c:pt idx="14">
                  <c:v>0.267797536829111</c:v>
                </c:pt>
              </c:numCache>
            </c:numRef>
          </c:xVal>
          <c:yVal>
            <c:numRef>
              <c:f>'Analiza VARI'!$C$2:$C$16</c:f>
              <c:numCache>
                <c:formatCode>0.00</c:formatCode>
                <c:ptCount val="15"/>
                <c:pt idx="0">
                  <c:v>2.4009999999999998</c:v>
                </c:pt>
                <c:pt idx="1">
                  <c:v>3.048</c:v>
                </c:pt>
                <c:pt idx="2">
                  <c:v>3.8839999999999999</c:v>
                </c:pt>
                <c:pt idx="3">
                  <c:v>2.8069999999999999</c:v>
                </c:pt>
                <c:pt idx="4">
                  <c:v>1.7789999999999999</c:v>
                </c:pt>
                <c:pt idx="5">
                  <c:v>2.778</c:v>
                </c:pt>
                <c:pt idx="6">
                  <c:v>1.9E-2</c:v>
                </c:pt>
                <c:pt idx="7">
                  <c:v>7.2999999999999995E-2</c:v>
                </c:pt>
                <c:pt idx="8">
                  <c:v>2.0779999999999998</c:v>
                </c:pt>
                <c:pt idx="9">
                  <c:v>1.7569999999999999</c:v>
                </c:pt>
                <c:pt idx="10">
                  <c:v>3.0169999999999999</c:v>
                </c:pt>
                <c:pt idx="11">
                  <c:v>6.8000000000000005E-2</c:v>
                </c:pt>
                <c:pt idx="12">
                  <c:v>2.5169999999999999</c:v>
                </c:pt>
                <c:pt idx="13">
                  <c:v>3.9060000000000001</c:v>
                </c:pt>
                <c:pt idx="14">
                  <c:v>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9-42A1-8050-B3078D094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410143"/>
        <c:axId val="1605790127"/>
      </c:scatterChart>
      <c:valAx>
        <c:axId val="176441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790127"/>
        <c:crosses val="autoZero"/>
        <c:crossBetween val="midCat"/>
      </c:valAx>
      <c:valAx>
        <c:axId val="160579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Înălțime DSM</a:t>
                </a:r>
                <a:r>
                  <a:rPr lang="ro-RO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1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Relația dintre aria coronamentului și VARI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31943519497874E-2"/>
                  <c:y val="0.397455516579942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'Analiza VARI'!$E$2:$E$16</c:f>
              <c:numCache>
                <c:formatCode>0.00</c:formatCode>
                <c:ptCount val="15"/>
                <c:pt idx="0">
                  <c:v>4.3620378178457004</c:v>
                </c:pt>
                <c:pt idx="1">
                  <c:v>4.2643267723033196</c:v>
                </c:pt>
                <c:pt idx="2">
                  <c:v>5.0343474248038502</c:v>
                </c:pt>
                <c:pt idx="3">
                  <c:v>10.4447232896364</c:v>
                </c:pt>
                <c:pt idx="4">
                  <c:v>1.7391331252292701</c:v>
                </c:pt>
                <c:pt idx="5">
                  <c:v>3.14574059341976</c:v>
                </c:pt>
                <c:pt idx="6">
                  <c:v>2.0828144077386201</c:v>
                </c:pt>
                <c:pt idx="7">
                  <c:v>0.44994763308204699</c:v>
                </c:pt>
                <c:pt idx="8">
                  <c:v>1.8152419609978101</c:v>
                </c:pt>
                <c:pt idx="9">
                  <c:v>1.5889490588742801</c:v>
                </c:pt>
                <c:pt idx="10">
                  <c:v>0.785949155277194</c:v>
                </c:pt>
                <c:pt idx="11">
                  <c:v>1.4473799275146999</c:v>
                </c:pt>
                <c:pt idx="12">
                  <c:v>4.1137237293769404</c:v>
                </c:pt>
                <c:pt idx="13">
                  <c:v>6.787715192826</c:v>
                </c:pt>
                <c:pt idx="14">
                  <c:v>8.1927939781453496</c:v>
                </c:pt>
              </c:numCache>
            </c:numRef>
          </c:xVal>
          <c:yVal>
            <c:numRef>
              <c:f>'Analiza VARI'!$D$2:$D$16</c:f>
              <c:numCache>
                <c:formatCode>0.00</c:formatCode>
                <c:ptCount val="15"/>
                <c:pt idx="0">
                  <c:v>0.24385761447819901</c:v>
                </c:pt>
                <c:pt idx="1">
                  <c:v>0.25609681268136297</c:v>
                </c:pt>
                <c:pt idx="2">
                  <c:v>0.33412633777789902</c:v>
                </c:pt>
                <c:pt idx="3">
                  <c:v>0.30195678475266502</c:v>
                </c:pt>
                <c:pt idx="4">
                  <c:v>0.11348433604121901</c:v>
                </c:pt>
                <c:pt idx="5">
                  <c:v>0.29278059259116201</c:v>
                </c:pt>
                <c:pt idx="6">
                  <c:v>0.211433394661175</c:v>
                </c:pt>
                <c:pt idx="7">
                  <c:v>0.20291322384081401</c:v>
                </c:pt>
                <c:pt idx="8">
                  <c:v>0.26376423640022301</c:v>
                </c:pt>
                <c:pt idx="9">
                  <c:v>0.181882368807503</c:v>
                </c:pt>
                <c:pt idx="10">
                  <c:v>0.26872450036322798</c:v>
                </c:pt>
                <c:pt idx="11">
                  <c:v>9.7171278245785697E-2</c:v>
                </c:pt>
                <c:pt idx="12">
                  <c:v>0.28983255507897498</c:v>
                </c:pt>
                <c:pt idx="13">
                  <c:v>0.22964312018212599</c:v>
                </c:pt>
                <c:pt idx="14">
                  <c:v>0.267797536829111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9-44CF-83A1-0D282B22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473583"/>
        <c:axId val="1605856847"/>
      </c:scatterChart>
      <c:valAx>
        <c:axId val="176247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856847"/>
        <c:crosses val="autoZero"/>
        <c:crossBetween val="midCat"/>
      </c:valAx>
      <c:valAx>
        <c:axId val="16058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Arie coronament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47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Relația dintre specia pomilor și VARI mediu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08705161854764E-2"/>
          <c:y val="0.17171296296296298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'Analiza VARI'!$A$20</c:f>
              <c:strCache>
                <c:ptCount val="1"/>
                <c:pt idx="0">
                  <c:v>Specie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748760523350943E-17"/>
                  <c:y val="1.66051708763607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0-4257-A32B-970EA2689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'Analiza VARI'!$A$21:$A$24</c:f>
              <c:strCache>
                <c:ptCount val="4"/>
                <c:pt idx="0">
                  <c:v>Mar</c:v>
                </c:pt>
                <c:pt idx="1">
                  <c:v>Gutui</c:v>
                </c:pt>
                <c:pt idx="2">
                  <c:v>Prun</c:v>
                </c:pt>
                <c:pt idx="3">
                  <c:v>Par</c:v>
                </c:pt>
              </c:strCache>
            </c:strRef>
          </c:cat>
          <c:val>
            <c:numRef>
              <c:f>'Analiza VARI'!$C$21:$C$24</c:f>
              <c:numCache>
                <c:formatCode>0.00</c:formatCode>
                <c:ptCount val="4"/>
                <c:pt idx="0">
                  <c:v>0.27195522768701702</c:v>
                </c:pt>
                <c:pt idx="1">
                  <c:v>0.11348433604121901</c:v>
                </c:pt>
                <c:pt idx="2">
                  <c:v>0.24967665168784672</c:v>
                </c:pt>
                <c:pt idx="3">
                  <c:v>0.20288559595418493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0-4257-A32B-970EA2689B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6528256"/>
        <c:axId val="517671216"/>
      </c:barChart>
      <c:catAx>
        <c:axId val="5765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1216"/>
        <c:crosses val="autoZero"/>
        <c:auto val="1"/>
        <c:lblAlgn val="ctr"/>
        <c:lblOffset val="100"/>
        <c:noMultiLvlLbl val="0"/>
      </c:catAx>
      <c:valAx>
        <c:axId val="5176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2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Relația dintre GLI și VARI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913367910922399"/>
                  <c:y val="-5.63067949839603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'Comparatie GLI-VARI'!$C$2:$C$16</c:f>
              <c:numCache>
                <c:formatCode>0.00</c:formatCode>
                <c:ptCount val="15"/>
                <c:pt idx="0">
                  <c:v>0.208713181208422</c:v>
                </c:pt>
                <c:pt idx="1">
                  <c:v>0.21697731437984899</c:v>
                </c:pt>
                <c:pt idx="2">
                  <c:v>0.25933108663846799</c:v>
                </c:pt>
                <c:pt idx="3">
                  <c:v>0.242850730915077</c:v>
                </c:pt>
                <c:pt idx="4">
                  <c:v>0.121735199349221</c:v>
                </c:pt>
                <c:pt idx="5">
                  <c:v>0.232027457536052</c:v>
                </c:pt>
                <c:pt idx="6">
                  <c:v>0.240038511972754</c:v>
                </c:pt>
                <c:pt idx="7">
                  <c:v>0.18534504515196101</c:v>
                </c:pt>
                <c:pt idx="8">
                  <c:v>0.25967610058271201</c:v>
                </c:pt>
                <c:pt idx="9">
                  <c:v>0.23696711238055801</c:v>
                </c:pt>
                <c:pt idx="10">
                  <c:v>0.25029561192625099</c:v>
                </c:pt>
                <c:pt idx="11">
                  <c:v>0.21669784396335401</c:v>
                </c:pt>
                <c:pt idx="12">
                  <c:v>0.23981343597257401</c:v>
                </c:pt>
                <c:pt idx="13">
                  <c:v>0.23195052417645901</c:v>
                </c:pt>
                <c:pt idx="14">
                  <c:v>0.27318949209514198</c:v>
                </c:pt>
              </c:numCache>
            </c:numRef>
          </c:xVal>
          <c:yVal>
            <c:numRef>
              <c:f>'Comparatie GLI-VARI'!$D$2:$D$16</c:f>
              <c:numCache>
                <c:formatCode>0.00</c:formatCode>
                <c:ptCount val="15"/>
                <c:pt idx="0">
                  <c:v>0.24385761447819901</c:v>
                </c:pt>
                <c:pt idx="1">
                  <c:v>0.25609681268136297</c:v>
                </c:pt>
                <c:pt idx="2">
                  <c:v>0.33412633777789902</c:v>
                </c:pt>
                <c:pt idx="3">
                  <c:v>0.30195678475266502</c:v>
                </c:pt>
                <c:pt idx="4">
                  <c:v>0.11348433604121901</c:v>
                </c:pt>
                <c:pt idx="5">
                  <c:v>0.29278059259116201</c:v>
                </c:pt>
                <c:pt idx="6">
                  <c:v>0.211433394661175</c:v>
                </c:pt>
                <c:pt idx="7">
                  <c:v>0.20291322384081401</c:v>
                </c:pt>
                <c:pt idx="8">
                  <c:v>0.26376423640022301</c:v>
                </c:pt>
                <c:pt idx="9">
                  <c:v>0.181882368807503</c:v>
                </c:pt>
                <c:pt idx="10">
                  <c:v>0.26872450036322798</c:v>
                </c:pt>
                <c:pt idx="11">
                  <c:v>9.7171278245785697E-2</c:v>
                </c:pt>
                <c:pt idx="12">
                  <c:v>0.28983255507897498</c:v>
                </c:pt>
                <c:pt idx="13">
                  <c:v>0.22964312018212599</c:v>
                </c:pt>
                <c:pt idx="14">
                  <c:v>0.267797536829111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A4-4AC3-B494-A5C1229DB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89824"/>
        <c:axId val="517639536"/>
      </c:scatterChart>
      <c:valAx>
        <c:axId val="63518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39536"/>
        <c:crosses val="autoZero"/>
        <c:crossBetween val="midCat"/>
      </c:valAx>
      <c:valAx>
        <c:axId val="51763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8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Comparația GLI și VARI pe specii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'Comparatie GLI-VARI'!$C$1</c:f>
              <c:strCache>
                <c:ptCount val="1"/>
                <c:pt idx="0">
                  <c:v>GLI_Mean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'Comparatie GLI-VARI'!$A$2:$B$16</c:f>
              <c:multiLvlStrCache>
                <c:ptCount val="15"/>
                <c:lvl>
                  <c:pt idx="0">
                    <c:v>Mar</c:v>
                  </c:pt>
                  <c:pt idx="1">
                    <c:v>Mar</c:v>
                  </c:pt>
                  <c:pt idx="2">
                    <c:v>Mar</c:v>
                  </c:pt>
                  <c:pt idx="3">
                    <c:v>Mar</c:v>
                  </c:pt>
                  <c:pt idx="4">
                    <c:v>Gutui</c:v>
                  </c:pt>
                  <c:pt idx="5">
                    <c:v>Mar</c:v>
                  </c:pt>
                  <c:pt idx="6">
                    <c:v>Prun</c:v>
                  </c:pt>
                  <c:pt idx="7">
                    <c:v>Mar</c:v>
                  </c:pt>
                  <c:pt idx="8">
                    <c:v>Par</c:v>
                  </c:pt>
                  <c:pt idx="9">
                    <c:v>Par</c:v>
                  </c:pt>
                  <c:pt idx="10">
                    <c:v>Par</c:v>
                  </c:pt>
                  <c:pt idx="11">
                    <c:v>Par</c:v>
                  </c:pt>
                  <c:pt idx="12">
                    <c:v>Prun</c:v>
                  </c:pt>
                  <c:pt idx="13">
                    <c:v>Prun</c:v>
                  </c:pt>
                  <c:pt idx="14">
                    <c:v>Prun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'Comparatie GLI-VARI'!$C$2:$C$16</c:f>
              <c:numCache>
                <c:formatCode>0.00</c:formatCode>
                <c:ptCount val="15"/>
                <c:pt idx="0">
                  <c:v>0.208713181208422</c:v>
                </c:pt>
                <c:pt idx="1">
                  <c:v>0.21697731437984899</c:v>
                </c:pt>
                <c:pt idx="2">
                  <c:v>0.25933108663846799</c:v>
                </c:pt>
                <c:pt idx="3">
                  <c:v>0.242850730915077</c:v>
                </c:pt>
                <c:pt idx="4">
                  <c:v>0.121735199349221</c:v>
                </c:pt>
                <c:pt idx="5">
                  <c:v>0.232027457536052</c:v>
                </c:pt>
                <c:pt idx="6">
                  <c:v>0.240038511972754</c:v>
                </c:pt>
                <c:pt idx="7">
                  <c:v>0.18534504515196101</c:v>
                </c:pt>
                <c:pt idx="8">
                  <c:v>0.25967610058271201</c:v>
                </c:pt>
                <c:pt idx="9">
                  <c:v>0.23696711238055801</c:v>
                </c:pt>
                <c:pt idx="10">
                  <c:v>0.25029561192625099</c:v>
                </c:pt>
                <c:pt idx="11">
                  <c:v>0.21669784396335401</c:v>
                </c:pt>
                <c:pt idx="12">
                  <c:v>0.23981343597257401</c:v>
                </c:pt>
                <c:pt idx="13">
                  <c:v>0.23195052417645901</c:v>
                </c:pt>
                <c:pt idx="14">
                  <c:v>0.27318949209514198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C83-BDA7-ABC5DEB15470}"/>
            </c:ext>
          </c:extLst>
        </c:ser>
        <c:ser>
          <c:idx val="1"/>
          <c:order val="1"/>
          <c:tx>
            <c:strRef>
              <c:f>'Comparatie GLI-VARI'!$D$1</c:f>
              <c:strCache>
                <c:ptCount val="1"/>
                <c:pt idx="0">
                  <c:v>VARI_Mean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'Comparatie GLI-VARI'!$A$2:$B$16</c:f>
              <c:multiLvlStrCache>
                <c:ptCount val="15"/>
                <c:lvl>
                  <c:pt idx="0">
                    <c:v>Mar</c:v>
                  </c:pt>
                  <c:pt idx="1">
                    <c:v>Mar</c:v>
                  </c:pt>
                  <c:pt idx="2">
                    <c:v>Mar</c:v>
                  </c:pt>
                  <c:pt idx="3">
                    <c:v>Mar</c:v>
                  </c:pt>
                  <c:pt idx="4">
                    <c:v>Gutui</c:v>
                  </c:pt>
                  <c:pt idx="5">
                    <c:v>Mar</c:v>
                  </c:pt>
                  <c:pt idx="6">
                    <c:v>Prun</c:v>
                  </c:pt>
                  <c:pt idx="7">
                    <c:v>Mar</c:v>
                  </c:pt>
                  <c:pt idx="8">
                    <c:v>Par</c:v>
                  </c:pt>
                  <c:pt idx="9">
                    <c:v>Par</c:v>
                  </c:pt>
                  <c:pt idx="10">
                    <c:v>Par</c:v>
                  </c:pt>
                  <c:pt idx="11">
                    <c:v>Par</c:v>
                  </c:pt>
                  <c:pt idx="12">
                    <c:v>Prun</c:v>
                  </c:pt>
                  <c:pt idx="13">
                    <c:v>Prun</c:v>
                  </c:pt>
                  <c:pt idx="14">
                    <c:v>Prun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'Comparatie GLI-VARI'!$D$2:$D$16</c:f>
              <c:numCache>
                <c:formatCode>0.00</c:formatCode>
                <c:ptCount val="15"/>
                <c:pt idx="0">
                  <c:v>0.24385761447819901</c:v>
                </c:pt>
                <c:pt idx="1">
                  <c:v>0.25609681268136297</c:v>
                </c:pt>
                <c:pt idx="2">
                  <c:v>0.33412633777789902</c:v>
                </c:pt>
                <c:pt idx="3">
                  <c:v>0.30195678475266502</c:v>
                </c:pt>
                <c:pt idx="4">
                  <c:v>0.11348433604121901</c:v>
                </c:pt>
                <c:pt idx="5">
                  <c:v>0.29278059259116201</c:v>
                </c:pt>
                <c:pt idx="6">
                  <c:v>0.211433394661175</c:v>
                </c:pt>
                <c:pt idx="7">
                  <c:v>0.20291322384081401</c:v>
                </c:pt>
                <c:pt idx="8">
                  <c:v>0.26376423640022301</c:v>
                </c:pt>
                <c:pt idx="9">
                  <c:v>0.181882368807503</c:v>
                </c:pt>
                <c:pt idx="10">
                  <c:v>0.26872450036322798</c:v>
                </c:pt>
                <c:pt idx="11">
                  <c:v>9.7171278245785697E-2</c:v>
                </c:pt>
                <c:pt idx="12">
                  <c:v>0.28983255507897498</c:v>
                </c:pt>
                <c:pt idx="13">
                  <c:v>0.22964312018212599</c:v>
                </c:pt>
                <c:pt idx="14">
                  <c:v>0.267797536829111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6-4C83-BDA7-ABC5DEB1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99587312"/>
        <c:axId val="517668816"/>
      </c:barChart>
      <c:catAx>
        <c:axId val="6995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8816"/>
        <c:crosses val="autoZero"/>
        <c:auto val="1"/>
        <c:lblAlgn val="ctr"/>
        <c:lblOffset val="100"/>
        <c:noMultiLvlLbl val="0"/>
      </c:catAx>
      <c:valAx>
        <c:axId val="5176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156210</xdr:rowOff>
    </xdr:from>
    <xdr:to>
      <xdr:col>13</xdr:col>
      <xdr:colOff>556260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B1494-2183-5693-251C-BD135021A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144780</xdr:colOff>
      <xdr:row>0</xdr:row>
      <xdr:rowOff>169756</xdr:rowOff>
    </xdr:from>
    <xdr:to>
      <xdr:col>21</xdr:col>
      <xdr:colOff>449580</xdr:colOff>
      <xdr:row>15</xdr:row>
      <xdr:rowOff>169756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45901-045F-3AED-931C-ECA7D3BCB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101600</xdr:colOff>
      <xdr:row>16</xdr:row>
      <xdr:rowOff>177800</xdr:rowOff>
    </xdr:from>
    <xdr:to>
      <xdr:col>13</xdr:col>
      <xdr:colOff>406400</xdr:colOff>
      <xdr:row>31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D46A80-21D5-78F5-E2AE-EA3379400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242146</xdr:colOff>
      <xdr:row>0</xdr:row>
      <xdr:rowOff>27517</xdr:rowOff>
    </xdr:from>
    <xdr:to>
      <xdr:col>13</xdr:col>
      <xdr:colOff>97366</xdr:colOff>
      <xdr:row>15</xdr:row>
      <xdr:rowOff>92287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3B95A-DE23-09AA-4882-BE1BA7F03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251460</xdr:colOff>
      <xdr:row>0</xdr:row>
      <xdr:rowOff>30480</xdr:rowOff>
    </xdr:from>
    <xdr:to>
      <xdr:col>20</xdr:col>
      <xdr:colOff>579120</xdr:colOff>
      <xdr:row>15</xdr:row>
      <xdr:rowOff>121497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6C3D1-C9E7-9062-5298-E4D251676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338665</xdr:colOff>
      <xdr:row>16</xdr:row>
      <xdr:rowOff>0</xdr:rowOff>
    </xdr:from>
    <xdr:to>
      <xdr:col>12</xdr:col>
      <xdr:colOff>592666</xdr:colOff>
      <xdr:row>28</xdr:row>
      <xdr:rowOff>59266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CDA8AC-9C96-763B-6BE3-080EF389C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0</xdr:row>
      <xdr:rowOff>148590</xdr:rowOff>
    </xdr:from>
    <xdr:to>
      <xdr:col>12</xdr:col>
      <xdr:colOff>45720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8583A-EA7F-992F-FE08-8B857EF76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0</xdr:row>
      <xdr:rowOff>110490</xdr:rowOff>
    </xdr:from>
    <xdr:to>
      <xdr:col>20</xdr:col>
      <xdr:colOff>30480</xdr:colOff>
      <xdr:row>15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F8720-2451-7411-447E-82722A549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CEE9-C8D0-400D-BB60-A52D14F87C89}">
  <dimension ref="A1:E24"/>
  <sheetViews>
    <sheetView zoomScale="80" zoomScaleNormal="80" workbookViewId="0">
      <selection activeCell="E30" sqref="E30"/>
    </sheetView>
  </sheetViews>
  <sheetFormatPr defaultRowHeight="14.4" x14ac:dyDescent="0.3"/>
  <cols>
    <col min="1" max="1" width="12" bestFit="1" customWidth="1"/>
    <col min="2" max="2" width="11.5546875" bestFit="1" customWidth="1"/>
    <col min="3" max="3" width="13.5546875" bestFit="1" customWidth="1"/>
    <col min="4" max="4" width="10.33203125" bestFit="1" customWidth="1"/>
    <col min="5" max="5" width="12.44140625" bestFit="1" customWidth="1"/>
  </cols>
  <sheetData>
    <row r="1" spans="1:5" x14ac:dyDescent="0.3">
      <c r="A1" s="10" t="s">
        <v>2</v>
      </c>
      <c r="B1" s="10" t="s">
        <v>3</v>
      </c>
      <c r="C1" s="10" t="s">
        <v>8</v>
      </c>
      <c r="D1" s="10" t="s">
        <v>0</v>
      </c>
      <c r="E1" s="10" t="s">
        <v>1</v>
      </c>
    </row>
    <row r="2" spans="1:5" x14ac:dyDescent="0.3">
      <c r="A2" s="2">
        <v>1</v>
      </c>
      <c r="B2" s="3" t="s">
        <v>4</v>
      </c>
      <c r="C2" s="4">
        <v>2.4009999999999998</v>
      </c>
      <c r="D2" s="4">
        <v>0.208713181208422</v>
      </c>
      <c r="E2" s="5">
        <v>4.3620378178457004</v>
      </c>
    </row>
    <row r="3" spans="1:5" x14ac:dyDescent="0.3">
      <c r="A3" s="2">
        <v>2</v>
      </c>
      <c r="B3" s="3" t="s">
        <v>4</v>
      </c>
      <c r="C3" s="4">
        <v>3.048</v>
      </c>
      <c r="D3" s="4">
        <v>0.21697731437984899</v>
      </c>
      <c r="E3" s="5">
        <v>4.2643267723033196</v>
      </c>
    </row>
    <row r="4" spans="1:5" x14ac:dyDescent="0.3">
      <c r="A4" s="2">
        <v>3</v>
      </c>
      <c r="B4" s="3" t="s">
        <v>4</v>
      </c>
      <c r="C4" s="4">
        <v>3.8839999999999999</v>
      </c>
      <c r="D4" s="4">
        <v>0.25933108663846799</v>
      </c>
      <c r="E4" s="5">
        <v>5.0343474248038502</v>
      </c>
    </row>
    <row r="5" spans="1:5" x14ac:dyDescent="0.3">
      <c r="A5" s="2">
        <v>4</v>
      </c>
      <c r="B5" s="3" t="s">
        <v>4</v>
      </c>
      <c r="C5" s="4">
        <v>2.8069999999999999</v>
      </c>
      <c r="D5" s="4">
        <v>0.242850730915077</v>
      </c>
      <c r="E5" s="5">
        <v>10.4447232896364</v>
      </c>
    </row>
    <row r="6" spans="1:5" x14ac:dyDescent="0.3">
      <c r="A6" s="2">
        <v>5</v>
      </c>
      <c r="B6" s="3" t="s">
        <v>5</v>
      </c>
      <c r="C6" s="4">
        <v>1.7789999999999999</v>
      </c>
      <c r="D6" s="4">
        <v>0.121735199349221</v>
      </c>
      <c r="E6" s="5">
        <v>1.7391331252292701</v>
      </c>
    </row>
    <row r="7" spans="1:5" x14ac:dyDescent="0.3">
      <c r="A7" s="2">
        <v>6</v>
      </c>
      <c r="B7" s="3" t="s">
        <v>4</v>
      </c>
      <c r="C7" s="4">
        <v>2.778</v>
      </c>
      <c r="D7" s="4">
        <v>0.232027457536052</v>
      </c>
      <c r="E7" s="5">
        <v>3.14574059341976</v>
      </c>
    </row>
    <row r="8" spans="1:5" x14ac:dyDescent="0.3">
      <c r="A8" s="2">
        <v>7</v>
      </c>
      <c r="B8" s="3" t="s">
        <v>6</v>
      </c>
      <c r="C8" s="4">
        <v>1.9E-2</v>
      </c>
      <c r="D8" s="4">
        <v>0.240038511972754</v>
      </c>
      <c r="E8" s="5">
        <v>2.0828144077386201</v>
      </c>
    </row>
    <row r="9" spans="1:5" x14ac:dyDescent="0.3">
      <c r="A9" s="2">
        <v>8</v>
      </c>
      <c r="B9" s="3" t="s">
        <v>4</v>
      </c>
      <c r="C9" s="4">
        <v>7.2999999999999995E-2</v>
      </c>
      <c r="D9" s="4">
        <v>0.18534504515196101</v>
      </c>
      <c r="E9" s="5">
        <v>0.44994763308204699</v>
      </c>
    </row>
    <row r="10" spans="1:5" x14ac:dyDescent="0.3">
      <c r="A10" s="2">
        <v>9</v>
      </c>
      <c r="B10" s="3" t="s">
        <v>7</v>
      </c>
      <c r="C10" s="4">
        <v>2.0779999999999998</v>
      </c>
      <c r="D10" s="4">
        <v>0.25967610058271201</v>
      </c>
      <c r="E10" s="5">
        <v>1.8152419609978101</v>
      </c>
    </row>
    <row r="11" spans="1:5" x14ac:dyDescent="0.3">
      <c r="A11" s="2">
        <v>10</v>
      </c>
      <c r="B11" s="3" t="s">
        <v>7</v>
      </c>
      <c r="C11" s="4">
        <v>1.7569999999999999</v>
      </c>
      <c r="D11" s="4">
        <v>0.23696711238055801</v>
      </c>
      <c r="E11" s="5">
        <v>1.5889490588742801</v>
      </c>
    </row>
    <row r="12" spans="1:5" x14ac:dyDescent="0.3">
      <c r="A12" s="2">
        <v>11</v>
      </c>
      <c r="B12" s="3" t="s">
        <v>7</v>
      </c>
      <c r="C12" s="4">
        <v>3.0169999999999999</v>
      </c>
      <c r="D12" s="4">
        <v>0.25029561192625099</v>
      </c>
      <c r="E12" s="5">
        <v>0.785949155277194</v>
      </c>
    </row>
    <row r="13" spans="1:5" x14ac:dyDescent="0.3">
      <c r="A13" s="2">
        <v>12</v>
      </c>
      <c r="B13" s="3" t="s">
        <v>7</v>
      </c>
      <c r="C13" s="4">
        <v>6.8000000000000005E-2</v>
      </c>
      <c r="D13" s="4">
        <v>0.21669784396335401</v>
      </c>
      <c r="E13" s="5">
        <v>1.4473799275146999</v>
      </c>
    </row>
    <row r="14" spans="1:5" x14ac:dyDescent="0.3">
      <c r="A14" s="2">
        <v>13</v>
      </c>
      <c r="B14" s="3" t="s">
        <v>6</v>
      </c>
      <c r="C14" s="4">
        <v>2.5169999999999999</v>
      </c>
      <c r="D14" s="4">
        <v>0.23981343597257401</v>
      </c>
      <c r="E14" s="5">
        <v>4.1137237293769404</v>
      </c>
    </row>
    <row r="15" spans="1:5" x14ac:dyDescent="0.3">
      <c r="A15" s="2">
        <v>14</v>
      </c>
      <c r="B15" s="3" t="s">
        <v>6</v>
      </c>
      <c r="C15" s="4">
        <v>3.9060000000000001</v>
      </c>
      <c r="D15" s="4">
        <v>0.23195052417645901</v>
      </c>
      <c r="E15" s="5">
        <v>6.787715192826</v>
      </c>
    </row>
    <row r="16" spans="1:5" x14ac:dyDescent="0.3">
      <c r="A16" s="6">
        <v>15</v>
      </c>
      <c r="B16" s="7" t="s">
        <v>6</v>
      </c>
      <c r="C16" s="8">
        <v>3.69</v>
      </c>
      <c r="D16" s="8">
        <v>0.27318949209514198</v>
      </c>
      <c r="E16" s="9">
        <v>8.1927939781453496</v>
      </c>
    </row>
    <row r="20" spans="1:5" x14ac:dyDescent="0.3">
      <c r="A20" s="1" t="s">
        <v>3</v>
      </c>
      <c r="B20" s="1" t="s">
        <v>9</v>
      </c>
      <c r="C20" s="1" t="s">
        <v>10</v>
      </c>
      <c r="D20" s="1" t="s">
        <v>11</v>
      </c>
      <c r="E20" s="1" t="s">
        <v>12</v>
      </c>
    </row>
    <row r="21" spans="1:5" x14ac:dyDescent="0.3">
      <c r="A21" s="2" t="s">
        <v>4</v>
      </c>
      <c r="B21" s="3">
        <v>6</v>
      </c>
      <c r="C21" s="4">
        <f>AVERAGEIF($B$2:$B$16,"Mar",D2:D16)</f>
        <v>0.22420746930497149</v>
      </c>
      <c r="D21" s="4">
        <f>_xlfn.MINIFS(D2:D16,B2:B16,"Mar")</f>
        <v>0.18534504515196101</v>
      </c>
      <c r="E21" s="5">
        <f>_xlfn.MAXIFS(D2:D16,B2:B16,"Mar")</f>
        <v>0.25933108663846799</v>
      </c>
    </row>
    <row r="22" spans="1:5" x14ac:dyDescent="0.3">
      <c r="A22" s="2" t="s">
        <v>5</v>
      </c>
      <c r="B22" s="3">
        <v>1</v>
      </c>
      <c r="C22" s="4">
        <f>AVERAGEIF($B$2:$B$16,"Gutui",D2:D16)</f>
        <v>0.121735199349221</v>
      </c>
      <c r="D22" s="4">
        <f>_xlfn.MINIFS(D2:D16,B2:B16,"Gutui")</f>
        <v>0.121735199349221</v>
      </c>
      <c r="E22" s="5">
        <f>_xlfn.MAXIFS(D2:D16,B2:B16,"Gutui")</f>
        <v>0.121735199349221</v>
      </c>
    </row>
    <row r="23" spans="1:5" x14ac:dyDescent="0.3">
      <c r="A23" s="2" t="s">
        <v>6</v>
      </c>
      <c r="B23" s="3">
        <v>4</v>
      </c>
      <c r="C23" s="4">
        <f>AVERAGEIF($B$2:$B$16,"Prun",D2:D16)</f>
        <v>0.24624799105423226</v>
      </c>
      <c r="D23" s="4">
        <f>_xlfn.MINIFS(D2:D16,B2:B16,"Prun")</f>
        <v>0.23195052417645901</v>
      </c>
      <c r="E23" s="5">
        <f>_xlfn.MAXIFS(D2:D16,B2:B16,"Prun")</f>
        <v>0.27318949209514198</v>
      </c>
    </row>
    <row r="24" spans="1:5" x14ac:dyDescent="0.3">
      <c r="A24" s="6" t="s">
        <v>7</v>
      </c>
      <c r="B24" s="7">
        <v>4</v>
      </c>
      <c r="C24" s="8">
        <f>AVERAGEIF($B$2:$B$16,"Par",D2:D16)</f>
        <v>0.24090916721321876</v>
      </c>
      <c r="D24" s="8">
        <f>_xlfn.MINIFS(D2:D16,B2:B16,"Par")</f>
        <v>0.21669784396335401</v>
      </c>
      <c r="E24" s="9">
        <f>_xlfn.MAXIFS(D2:D16,B2:B16,"Par")</f>
        <v>0.25967610058271201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4A76-70DC-42FD-8E7A-98014E52E1D7}">
  <dimension ref="A1:E24"/>
  <sheetViews>
    <sheetView zoomScale="90" zoomScaleNormal="90" workbookViewId="0">
      <selection activeCell="E14" sqref="E14"/>
    </sheetView>
  </sheetViews>
  <sheetFormatPr defaultRowHeight="14.4" x14ac:dyDescent="0.3"/>
  <cols>
    <col min="2" max="2" width="11.5546875" bestFit="1" customWidth="1"/>
    <col min="3" max="3" width="13.5546875" bestFit="1" customWidth="1"/>
    <col min="4" max="4" width="11.6640625" bestFit="1" customWidth="1"/>
    <col min="5" max="5" width="12.44140625" bestFit="1" customWidth="1"/>
  </cols>
  <sheetData>
    <row r="1" spans="1:5" x14ac:dyDescent="0.3">
      <c r="A1" s="11" t="s">
        <v>2</v>
      </c>
      <c r="B1" s="11" t="s">
        <v>3</v>
      </c>
      <c r="C1" s="11" t="s">
        <v>8</v>
      </c>
      <c r="D1" s="11" t="s">
        <v>13</v>
      </c>
      <c r="E1" s="11" t="s">
        <v>1</v>
      </c>
    </row>
    <row r="2" spans="1:5" x14ac:dyDescent="0.3">
      <c r="A2" s="2">
        <v>1</v>
      </c>
      <c r="B2" s="3" t="s">
        <v>4</v>
      </c>
      <c r="C2" s="17">
        <v>2.4009999999999998</v>
      </c>
      <c r="D2" s="17">
        <v>0.24385761447819901</v>
      </c>
      <c r="E2" s="16">
        <v>4.3620378178457004</v>
      </c>
    </row>
    <row r="3" spans="1:5" x14ac:dyDescent="0.3">
      <c r="A3" s="2">
        <v>2</v>
      </c>
      <c r="B3" s="3" t="s">
        <v>4</v>
      </c>
      <c r="C3" s="15">
        <v>3.048</v>
      </c>
      <c r="D3" s="15">
        <v>0.25609681268136297</v>
      </c>
      <c r="E3" s="5">
        <v>4.2643267723033196</v>
      </c>
    </row>
    <row r="4" spans="1:5" x14ac:dyDescent="0.3">
      <c r="A4" s="2">
        <v>3</v>
      </c>
      <c r="B4" s="3" t="s">
        <v>4</v>
      </c>
      <c r="C4" s="15">
        <v>3.8839999999999999</v>
      </c>
      <c r="D4" s="15">
        <v>0.33412633777789902</v>
      </c>
      <c r="E4" s="5">
        <v>5.0343474248038502</v>
      </c>
    </row>
    <row r="5" spans="1:5" x14ac:dyDescent="0.3">
      <c r="A5" s="2">
        <v>4</v>
      </c>
      <c r="B5" s="3" t="s">
        <v>4</v>
      </c>
      <c r="C5" s="15">
        <v>2.8069999999999999</v>
      </c>
      <c r="D5" s="15">
        <v>0.30195678475266502</v>
      </c>
      <c r="E5" s="5">
        <v>10.4447232896364</v>
      </c>
    </row>
    <row r="6" spans="1:5" x14ac:dyDescent="0.3">
      <c r="A6" s="2">
        <v>5</v>
      </c>
      <c r="B6" s="3" t="s">
        <v>5</v>
      </c>
      <c r="C6" s="15">
        <v>1.7789999999999999</v>
      </c>
      <c r="D6" s="15">
        <v>0.11348433604121901</v>
      </c>
      <c r="E6" s="5">
        <v>1.7391331252292701</v>
      </c>
    </row>
    <row r="7" spans="1:5" x14ac:dyDescent="0.3">
      <c r="A7" s="2">
        <v>6</v>
      </c>
      <c r="B7" s="3" t="s">
        <v>4</v>
      </c>
      <c r="C7" s="15">
        <v>2.778</v>
      </c>
      <c r="D7" s="15">
        <v>0.29278059259116201</v>
      </c>
      <c r="E7" s="5">
        <v>3.14574059341976</v>
      </c>
    </row>
    <row r="8" spans="1:5" x14ac:dyDescent="0.3">
      <c r="A8" s="2">
        <v>7</v>
      </c>
      <c r="B8" s="3" t="s">
        <v>6</v>
      </c>
      <c r="C8" s="15">
        <v>1.9E-2</v>
      </c>
      <c r="D8" s="15">
        <v>0.211433394661175</v>
      </c>
      <c r="E8" s="5">
        <v>2.0828144077386201</v>
      </c>
    </row>
    <row r="9" spans="1:5" x14ac:dyDescent="0.3">
      <c r="A9" s="2">
        <v>8</v>
      </c>
      <c r="B9" s="3" t="s">
        <v>4</v>
      </c>
      <c r="C9" s="15">
        <v>7.2999999999999995E-2</v>
      </c>
      <c r="D9" s="15">
        <v>0.20291322384081401</v>
      </c>
      <c r="E9" s="5">
        <v>0.44994763308204699</v>
      </c>
    </row>
    <row r="10" spans="1:5" x14ac:dyDescent="0.3">
      <c r="A10" s="2">
        <v>9</v>
      </c>
      <c r="B10" s="3" t="s">
        <v>7</v>
      </c>
      <c r="C10" s="15">
        <v>2.0779999999999998</v>
      </c>
      <c r="D10" s="15">
        <v>0.26376423640022301</v>
      </c>
      <c r="E10" s="5">
        <v>1.8152419609978101</v>
      </c>
    </row>
    <row r="11" spans="1:5" x14ac:dyDescent="0.3">
      <c r="A11" s="2">
        <v>10</v>
      </c>
      <c r="B11" s="3" t="s">
        <v>7</v>
      </c>
      <c r="C11" s="15">
        <v>1.7569999999999999</v>
      </c>
      <c r="D11" s="15">
        <v>0.181882368807503</v>
      </c>
      <c r="E11" s="5">
        <v>1.5889490588742801</v>
      </c>
    </row>
    <row r="12" spans="1:5" x14ac:dyDescent="0.3">
      <c r="A12" s="2">
        <v>11</v>
      </c>
      <c r="B12" s="3" t="s">
        <v>7</v>
      </c>
      <c r="C12" s="15">
        <v>3.0169999999999999</v>
      </c>
      <c r="D12" s="15">
        <v>0.26872450036322798</v>
      </c>
      <c r="E12" s="5">
        <v>0.785949155277194</v>
      </c>
    </row>
    <row r="13" spans="1:5" x14ac:dyDescent="0.3">
      <c r="A13" s="2">
        <v>12</v>
      </c>
      <c r="B13" s="3" t="s">
        <v>7</v>
      </c>
      <c r="C13" s="15">
        <v>6.8000000000000005E-2</v>
      </c>
      <c r="D13" s="15">
        <v>9.7171278245785697E-2</v>
      </c>
      <c r="E13" s="5">
        <v>1.4473799275146999</v>
      </c>
    </row>
    <row r="14" spans="1:5" x14ac:dyDescent="0.3">
      <c r="A14" s="2">
        <v>13</v>
      </c>
      <c r="B14" s="3" t="s">
        <v>6</v>
      </c>
      <c r="C14" s="15">
        <v>2.5169999999999999</v>
      </c>
      <c r="D14" s="15">
        <v>0.28983255507897498</v>
      </c>
      <c r="E14" s="5">
        <v>4.1137237293769404</v>
      </c>
    </row>
    <row r="15" spans="1:5" x14ac:dyDescent="0.3">
      <c r="A15" s="2">
        <v>14</v>
      </c>
      <c r="B15" s="3" t="s">
        <v>6</v>
      </c>
      <c r="C15" s="4">
        <v>3.9060000000000001</v>
      </c>
      <c r="D15" s="15">
        <v>0.22964312018212599</v>
      </c>
      <c r="E15" s="5">
        <v>6.787715192826</v>
      </c>
    </row>
    <row r="16" spans="1:5" x14ac:dyDescent="0.3">
      <c r="A16" s="6">
        <v>15</v>
      </c>
      <c r="B16" s="7" t="s">
        <v>6</v>
      </c>
      <c r="C16" s="8">
        <v>3.69</v>
      </c>
      <c r="D16" s="8">
        <v>0.267797536829111</v>
      </c>
      <c r="E16" s="9">
        <v>8.1927939781453496</v>
      </c>
    </row>
    <row r="20" spans="1:5" x14ac:dyDescent="0.3">
      <c r="A20" s="1" t="s">
        <v>3</v>
      </c>
      <c r="B20" s="1" t="s">
        <v>9</v>
      </c>
      <c r="C20" s="1" t="s">
        <v>14</v>
      </c>
      <c r="D20" s="1" t="s">
        <v>15</v>
      </c>
      <c r="E20" s="1" t="s">
        <v>16</v>
      </c>
    </row>
    <row r="21" spans="1:5" x14ac:dyDescent="0.3">
      <c r="A21" s="2" t="s">
        <v>4</v>
      </c>
      <c r="B21" s="3">
        <v>6</v>
      </c>
      <c r="C21" s="4">
        <f>AVERAGEIF($B$2:$B$16,"Mar",D2:D16)</f>
        <v>0.27195522768701702</v>
      </c>
      <c r="D21" s="4">
        <f>_xlfn.MINIFS(D2:D16,B2:B16,"Mar")</f>
        <v>0.20291322384081401</v>
      </c>
      <c r="E21" s="5">
        <f>_xlfn.MAXIFS(D2:D16,B2:B16,"Mar")</f>
        <v>0.33412633777789902</v>
      </c>
    </row>
    <row r="22" spans="1:5" x14ac:dyDescent="0.3">
      <c r="A22" s="2" t="s">
        <v>5</v>
      </c>
      <c r="B22" s="3">
        <v>1</v>
      </c>
      <c r="C22" s="4">
        <f>AVERAGEIF($B$2:$B$16,"Gutui",D2:D16)</f>
        <v>0.11348433604121901</v>
      </c>
      <c r="D22" s="4">
        <f>_xlfn.MINIFS(D2:D16,B2:B16,"Gutui")</f>
        <v>0.11348433604121901</v>
      </c>
      <c r="E22" s="5">
        <f>_xlfn.MAXIFS(D2:D16,B2:B16,"Gutui")</f>
        <v>0.11348433604121901</v>
      </c>
    </row>
    <row r="23" spans="1:5" x14ac:dyDescent="0.3">
      <c r="A23" s="2" t="s">
        <v>6</v>
      </c>
      <c r="B23" s="3">
        <v>4</v>
      </c>
      <c r="C23" s="4">
        <f>AVERAGEIF($B$2:$B$16,"Prun",D2:D16)</f>
        <v>0.24967665168784672</v>
      </c>
      <c r="D23" s="4">
        <f>_xlfn.MINIFS(D2:D16,B2:B16,"Prun")</f>
        <v>0.211433394661175</v>
      </c>
      <c r="E23" s="5">
        <f>_xlfn.MAXIFS(D2:D16,B2:B16,"Prun")</f>
        <v>0.28983255507897498</v>
      </c>
    </row>
    <row r="24" spans="1:5" x14ac:dyDescent="0.3">
      <c r="A24" s="6" t="s">
        <v>7</v>
      </c>
      <c r="B24" s="7">
        <v>4</v>
      </c>
      <c r="C24" s="8">
        <f>AVERAGEIF($B$2:$B$16,"Par",D2:D16)</f>
        <v>0.20288559595418493</v>
      </c>
      <c r="D24" s="8">
        <f>_xlfn.MINIFS(D2:D16,B2:B16,"Par")</f>
        <v>9.7171278245785697E-2</v>
      </c>
      <c r="E24" s="9">
        <f>_xlfn.MAXIFS(D2:D16,B2:B16,"Par")</f>
        <v>0.26872450036322798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3D00-B82C-4BD8-9C87-1E749E979F9E}">
  <dimension ref="A1:K24"/>
  <sheetViews>
    <sheetView tabSelected="1" workbookViewId="0">
      <selection activeCell="N21" sqref="N21"/>
    </sheetView>
  </sheetViews>
  <sheetFormatPr defaultRowHeight="14.4" x14ac:dyDescent="0.3"/>
  <cols>
    <col min="3" max="3" width="9.88671875" bestFit="1" customWidth="1"/>
    <col min="4" max="4" width="11.21875" bestFit="1" customWidth="1"/>
  </cols>
  <sheetData>
    <row r="1" spans="1:4" x14ac:dyDescent="0.3">
      <c r="A1" s="18" t="s">
        <v>2</v>
      </c>
      <c r="B1" s="18" t="s">
        <v>3</v>
      </c>
      <c r="C1" s="18" t="s">
        <v>0</v>
      </c>
      <c r="D1" s="18" t="s">
        <v>13</v>
      </c>
    </row>
    <row r="2" spans="1:4" x14ac:dyDescent="0.3">
      <c r="A2" s="2">
        <v>1</v>
      </c>
      <c r="B2" s="14" t="s">
        <v>4</v>
      </c>
      <c r="C2" s="15">
        <v>0.208713181208422</v>
      </c>
      <c r="D2" s="5">
        <v>0.24385761447819901</v>
      </c>
    </row>
    <row r="3" spans="1:4" x14ac:dyDescent="0.3">
      <c r="A3" s="2">
        <v>2</v>
      </c>
      <c r="B3" s="14" t="s">
        <v>4</v>
      </c>
      <c r="C3" s="15">
        <v>0.21697731437984899</v>
      </c>
      <c r="D3" s="5">
        <v>0.25609681268136297</v>
      </c>
    </row>
    <row r="4" spans="1:4" x14ac:dyDescent="0.3">
      <c r="A4" s="2">
        <v>3</v>
      </c>
      <c r="B4" s="14" t="s">
        <v>4</v>
      </c>
      <c r="C4" s="15">
        <v>0.25933108663846799</v>
      </c>
      <c r="D4" s="5">
        <v>0.33412633777789902</v>
      </c>
    </row>
    <row r="5" spans="1:4" x14ac:dyDescent="0.3">
      <c r="A5" s="2">
        <v>4</v>
      </c>
      <c r="B5" s="14" t="s">
        <v>4</v>
      </c>
      <c r="C5" s="15">
        <v>0.242850730915077</v>
      </c>
      <c r="D5" s="5">
        <v>0.30195678475266502</v>
      </c>
    </row>
    <row r="6" spans="1:4" x14ac:dyDescent="0.3">
      <c r="A6" s="2">
        <v>5</v>
      </c>
      <c r="B6" s="14" t="s">
        <v>5</v>
      </c>
      <c r="C6" s="15">
        <v>0.121735199349221</v>
      </c>
      <c r="D6" s="5">
        <v>0.11348433604121901</v>
      </c>
    </row>
    <row r="7" spans="1:4" x14ac:dyDescent="0.3">
      <c r="A7" s="2">
        <v>6</v>
      </c>
      <c r="B7" s="14" t="s">
        <v>4</v>
      </c>
      <c r="C7" s="15">
        <v>0.232027457536052</v>
      </c>
      <c r="D7" s="5">
        <v>0.29278059259116201</v>
      </c>
    </row>
    <row r="8" spans="1:4" x14ac:dyDescent="0.3">
      <c r="A8" s="2">
        <v>7</v>
      </c>
      <c r="B8" s="14" t="s">
        <v>6</v>
      </c>
      <c r="C8" s="15">
        <v>0.240038511972754</v>
      </c>
      <c r="D8" s="5">
        <v>0.211433394661175</v>
      </c>
    </row>
    <row r="9" spans="1:4" x14ac:dyDescent="0.3">
      <c r="A9" s="2">
        <v>8</v>
      </c>
      <c r="B9" s="14" t="s">
        <v>4</v>
      </c>
      <c r="C9" s="15">
        <v>0.18534504515196101</v>
      </c>
      <c r="D9" s="5">
        <v>0.20291322384081401</v>
      </c>
    </row>
    <row r="10" spans="1:4" x14ac:dyDescent="0.3">
      <c r="A10" s="2">
        <v>9</v>
      </c>
      <c r="B10" s="14" t="s">
        <v>7</v>
      </c>
      <c r="C10" s="15">
        <v>0.25967610058271201</v>
      </c>
      <c r="D10" s="5">
        <v>0.26376423640022301</v>
      </c>
    </row>
    <row r="11" spans="1:4" x14ac:dyDescent="0.3">
      <c r="A11" s="2">
        <v>10</v>
      </c>
      <c r="B11" s="14" t="s">
        <v>7</v>
      </c>
      <c r="C11" s="15">
        <v>0.23696711238055801</v>
      </c>
      <c r="D11" s="5">
        <v>0.181882368807503</v>
      </c>
    </row>
    <row r="12" spans="1:4" x14ac:dyDescent="0.3">
      <c r="A12" s="2">
        <v>11</v>
      </c>
      <c r="B12" s="14" t="s">
        <v>7</v>
      </c>
      <c r="C12" s="15">
        <v>0.25029561192625099</v>
      </c>
      <c r="D12" s="5">
        <v>0.26872450036322798</v>
      </c>
    </row>
    <row r="13" spans="1:4" x14ac:dyDescent="0.3">
      <c r="A13" s="2">
        <v>12</v>
      </c>
      <c r="B13" s="14" t="s">
        <v>7</v>
      </c>
      <c r="C13" s="15">
        <v>0.21669784396335401</v>
      </c>
      <c r="D13" s="5">
        <v>9.7171278245785697E-2</v>
      </c>
    </row>
    <row r="14" spans="1:4" x14ac:dyDescent="0.3">
      <c r="A14" s="2">
        <v>13</v>
      </c>
      <c r="B14" s="14" t="s">
        <v>6</v>
      </c>
      <c r="C14" s="15">
        <v>0.23981343597257401</v>
      </c>
      <c r="D14" s="5">
        <v>0.28983255507897498</v>
      </c>
    </row>
    <row r="15" spans="1:4" x14ac:dyDescent="0.3">
      <c r="A15" s="2">
        <v>14</v>
      </c>
      <c r="B15" s="14" t="s">
        <v>6</v>
      </c>
      <c r="C15" s="15">
        <v>0.23195052417645901</v>
      </c>
      <c r="D15" s="5">
        <v>0.22964312018212599</v>
      </c>
    </row>
    <row r="16" spans="1:4" x14ac:dyDescent="0.3">
      <c r="A16" s="6">
        <v>15</v>
      </c>
      <c r="B16" s="7" t="s">
        <v>6</v>
      </c>
      <c r="C16" s="8">
        <v>0.27318949209514198</v>
      </c>
      <c r="D16" s="9">
        <v>0.267797536829111</v>
      </c>
    </row>
    <row r="17" spans="1:11" x14ac:dyDescent="0.3">
      <c r="A17" s="13"/>
      <c r="B17" s="13"/>
      <c r="C17" s="13"/>
      <c r="D17" s="13"/>
      <c r="E17" s="13"/>
    </row>
    <row r="18" spans="1:11" x14ac:dyDescent="0.3">
      <c r="J18" s="20" t="s">
        <v>17</v>
      </c>
      <c r="K18" s="21" t="s">
        <v>18</v>
      </c>
    </row>
    <row r="19" spans="1:11" x14ac:dyDescent="0.3">
      <c r="J19" s="12">
        <f>CORREL(C2:C16,D2:D16)</f>
        <v>0.66431930394434202</v>
      </c>
      <c r="K19" s="12">
        <f>CORREL(C2:C16,D2:D16)^2</f>
        <v>0.44132013759309507</v>
      </c>
    </row>
    <row r="24" spans="1:11" x14ac:dyDescent="0.3">
      <c r="I24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Analiza GLI</vt:lpstr>
      <vt:lpstr>Analiza VARI</vt:lpstr>
      <vt:lpstr>Comparatie GLI-VARI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Daria-Ioana SICARU (142713)</dc:creator>
  <cp:lastModifiedBy>Daria-Ioana SICARU (142713)</cp:lastModifiedBy>
  <dcterms:created xsi:type="dcterms:W3CDTF">2026-07-31T14:01:09Z</dcterms:created>
  <dcterms:modified xsi:type="dcterms:W3CDTF">2026-08-02T16:22:55Z</dcterms:modified>
</cp:coreProperties>
</file>